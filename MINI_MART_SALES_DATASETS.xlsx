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minimized="1" xWindow="0" yWindow="0" windowWidth="27945" windowHeight="12300" tabRatio="500"/>
  </bookViews>
  <sheets>
    <sheet name="Sales Data" sheetId="1" r:id="rId1"/>
    <sheet name="Product List" sheetId="2" r:id="rId2"/>
    <sheet name="Assignment Questions" sheetId="3" r:id="rId3"/>
    <sheet name="Pivot Table" sheetId="5" r:id="rId4"/>
  </sheets>
  <definedNames>
    <definedName name="_xlnm._FilterDatabase" localSheetId="0" hidden="1">'Sales Data'!$A$4:$M$64</definedName>
  </definedNames>
  <calcPr calcId="152511"/>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1" l="1"/>
  <c r="L64" i="1" s="1"/>
  <c r="J64" i="1"/>
  <c r="I64" i="1"/>
  <c r="K63" i="1"/>
  <c r="L63" i="1" s="1"/>
  <c r="J63" i="1"/>
  <c r="I63" i="1"/>
  <c r="L62" i="1"/>
  <c r="K62" i="1"/>
  <c r="J62" i="1"/>
  <c r="I62" i="1"/>
  <c r="N61" i="1"/>
  <c r="K61" i="1"/>
  <c r="L61" i="1" s="1"/>
  <c r="J61" i="1"/>
  <c r="I61" i="1"/>
  <c r="K60" i="1"/>
  <c r="L60" i="1" s="1"/>
  <c r="J60" i="1"/>
  <c r="I60" i="1"/>
  <c r="K59" i="1"/>
  <c r="L59" i="1" s="1"/>
  <c r="J59" i="1"/>
  <c r="I59" i="1"/>
  <c r="K58" i="1"/>
  <c r="L58" i="1" s="1"/>
  <c r="J58" i="1"/>
  <c r="I58" i="1"/>
  <c r="K57" i="1"/>
  <c r="L57" i="1" s="1"/>
  <c r="J57" i="1"/>
  <c r="I57" i="1"/>
  <c r="N56" i="1"/>
  <c r="L56" i="1"/>
  <c r="K56" i="1"/>
  <c r="J56" i="1"/>
  <c r="I56" i="1"/>
  <c r="K55" i="1"/>
  <c r="L55" i="1" s="1"/>
  <c r="J55" i="1"/>
  <c r="I55" i="1"/>
  <c r="K54" i="1"/>
  <c r="L54" i="1" s="1"/>
  <c r="J54" i="1"/>
  <c r="I54" i="1"/>
  <c r="K53" i="1"/>
  <c r="L53" i="1" s="1"/>
  <c r="J53" i="1"/>
  <c r="I53" i="1"/>
  <c r="L52" i="1"/>
  <c r="K52" i="1"/>
  <c r="J52" i="1"/>
  <c r="I52" i="1"/>
  <c r="K51" i="1"/>
  <c r="L51" i="1" s="1"/>
  <c r="J51" i="1"/>
  <c r="I51" i="1"/>
  <c r="K50" i="1"/>
  <c r="L50" i="1" s="1"/>
  <c r="J50" i="1"/>
  <c r="I50" i="1"/>
  <c r="L49" i="1"/>
  <c r="K49" i="1"/>
  <c r="J49" i="1"/>
  <c r="I49" i="1"/>
  <c r="K48" i="1"/>
  <c r="L48" i="1" s="1"/>
  <c r="J48" i="1"/>
  <c r="I48" i="1"/>
  <c r="K47" i="1"/>
  <c r="L47" i="1" s="1"/>
  <c r="J47" i="1"/>
  <c r="I47" i="1"/>
  <c r="N46" i="1"/>
  <c r="L46" i="1"/>
  <c r="K46" i="1"/>
  <c r="J46" i="1"/>
  <c r="I46" i="1"/>
  <c r="K45" i="1"/>
  <c r="L45" i="1" s="1"/>
  <c r="J45" i="1"/>
  <c r="I45" i="1"/>
  <c r="K44" i="1"/>
  <c r="L44" i="1" s="1"/>
  <c r="J44" i="1"/>
  <c r="I44" i="1"/>
  <c r="K43" i="1"/>
  <c r="L43" i="1" s="1"/>
  <c r="J43" i="1"/>
  <c r="I43" i="1"/>
  <c r="L42" i="1"/>
  <c r="K42" i="1"/>
  <c r="J42" i="1"/>
  <c r="I42" i="1"/>
  <c r="N41" i="1"/>
  <c r="K41" i="1"/>
  <c r="L41" i="1" s="1"/>
  <c r="J41" i="1"/>
  <c r="I41" i="1"/>
  <c r="K40" i="1"/>
  <c r="L40" i="1" s="1"/>
  <c r="J40" i="1"/>
  <c r="I40" i="1"/>
  <c r="L39" i="1"/>
  <c r="K39" i="1"/>
  <c r="J39" i="1"/>
  <c r="I39" i="1"/>
  <c r="K38" i="1"/>
  <c r="L38" i="1" s="1"/>
  <c r="M64" i="1" s="1"/>
  <c r="J38" i="1"/>
  <c r="I38" i="1"/>
  <c r="K37" i="1"/>
  <c r="L37" i="1" s="1"/>
  <c r="M63" i="1" s="1"/>
  <c r="J37" i="1"/>
  <c r="I37" i="1"/>
  <c r="L36" i="1"/>
  <c r="M62" i="1" s="1"/>
  <c r="K36" i="1"/>
  <c r="J36" i="1"/>
  <c r="I36" i="1"/>
  <c r="K35" i="1"/>
  <c r="L35" i="1" s="1"/>
  <c r="M61" i="1" s="1"/>
  <c r="J35" i="1"/>
  <c r="I35" i="1"/>
  <c r="L34" i="1"/>
  <c r="M60" i="1" s="1"/>
  <c r="K34" i="1"/>
  <c r="J34" i="1"/>
  <c r="I34" i="1"/>
  <c r="K33" i="1"/>
  <c r="L33" i="1" s="1"/>
  <c r="M59" i="1" s="1"/>
  <c r="J33" i="1"/>
  <c r="I33" i="1"/>
  <c r="L32" i="1"/>
  <c r="M58" i="1" s="1"/>
  <c r="K32" i="1"/>
  <c r="J32" i="1"/>
  <c r="I32" i="1"/>
  <c r="K31" i="1"/>
  <c r="L31" i="1" s="1"/>
  <c r="M57" i="1" s="1"/>
  <c r="J31" i="1"/>
  <c r="I31" i="1"/>
  <c r="L30" i="1"/>
  <c r="M30" i="1" s="1"/>
  <c r="K30" i="1"/>
  <c r="J30" i="1"/>
  <c r="I30" i="1"/>
  <c r="K29" i="1"/>
  <c r="L29" i="1" s="1"/>
  <c r="J29" i="1"/>
  <c r="I29" i="1"/>
  <c r="L28" i="1"/>
  <c r="M54" i="1" s="1"/>
  <c r="K28" i="1"/>
  <c r="J28" i="1"/>
  <c r="I28" i="1"/>
  <c r="K27" i="1"/>
  <c r="L27" i="1" s="1"/>
  <c r="J27" i="1"/>
  <c r="I27" i="1"/>
  <c r="L26" i="1"/>
  <c r="M26" i="1" s="1"/>
  <c r="K26" i="1"/>
  <c r="J26" i="1"/>
  <c r="I26" i="1"/>
  <c r="K25" i="1"/>
  <c r="L25" i="1" s="1"/>
  <c r="J25" i="1"/>
  <c r="I25" i="1"/>
  <c r="L24" i="1"/>
  <c r="M50" i="1" s="1"/>
  <c r="K24" i="1"/>
  <c r="J24" i="1"/>
  <c r="I24" i="1"/>
  <c r="K23" i="1"/>
  <c r="L23" i="1" s="1"/>
  <c r="J23" i="1"/>
  <c r="I23" i="1"/>
  <c r="L22" i="1"/>
  <c r="M22" i="1" s="1"/>
  <c r="K22" i="1"/>
  <c r="J22" i="1"/>
  <c r="I22" i="1"/>
  <c r="K21" i="1"/>
  <c r="L21" i="1" s="1"/>
  <c r="J21" i="1"/>
  <c r="I21" i="1"/>
  <c r="L20" i="1"/>
  <c r="M46" i="1" s="1"/>
  <c r="K20" i="1"/>
  <c r="J20" i="1"/>
  <c r="I20" i="1"/>
  <c r="K19" i="1"/>
  <c r="L19" i="1" s="1"/>
  <c r="J19" i="1"/>
  <c r="I19" i="1"/>
  <c r="L18" i="1"/>
  <c r="M44" i="1" s="1"/>
  <c r="K18" i="1"/>
  <c r="J18" i="1"/>
  <c r="I18" i="1"/>
  <c r="K17" i="1"/>
  <c r="L17" i="1" s="1"/>
  <c r="J17" i="1"/>
  <c r="I17" i="1"/>
  <c r="L16" i="1"/>
  <c r="M42" i="1" s="1"/>
  <c r="K16" i="1"/>
  <c r="J16" i="1"/>
  <c r="I16" i="1"/>
  <c r="K15" i="1"/>
  <c r="L15" i="1" s="1"/>
  <c r="J15" i="1"/>
  <c r="I15" i="1"/>
  <c r="L14" i="1"/>
  <c r="M14" i="1" s="1"/>
  <c r="K14" i="1"/>
  <c r="J14" i="1"/>
  <c r="I14" i="1"/>
  <c r="K13" i="1"/>
  <c r="L13" i="1" s="1"/>
  <c r="J13" i="1"/>
  <c r="I13" i="1"/>
  <c r="L12" i="1"/>
  <c r="M12" i="1" s="1"/>
  <c r="K12" i="1"/>
  <c r="J12" i="1"/>
  <c r="I12" i="1"/>
  <c r="K11" i="1"/>
  <c r="L11" i="1" s="1"/>
  <c r="J11" i="1"/>
  <c r="I11" i="1"/>
  <c r="L10" i="1"/>
  <c r="M10" i="1" s="1"/>
  <c r="K10" i="1"/>
  <c r="J10" i="1"/>
  <c r="I10" i="1"/>
  <c r="K9" i="1"/>
  <c r="L9" i="1" s="1"/>
  <c r="J9" i="1"/>
  <c r="I9" i="1"/>
  <c r="L8" i="1"/>
  <c r="M34" i="1" s="1"/>
  <c r="K8" i="1"/>
  <c r="J8" i="1"/>
  <c r="I8" i="1"/>
  <c r="K7" i="1"/>
  <c r="L7" i="1" s="1"/>
  <c r="J7" i="1"/>
  <c r="I7" i="1"/>
  <c r="L6" i="1"/>
  <c r="M6" i="1" s="1"/>
  <c r="K6" i="1"/>
  <c r="J6" i="1"/>
  <c r="I6" i="1"/>
  <c r="K5" i="1"/>
  <c r="L5" i="1" s="1"/>
  <c r="J5" i="1"/>
  <c r="I5" i="1"/>
  <c r="M37" i="1" l="1"/>
  <c r="M11" i="1"/>
  <c r="M45" i="1"/>
  <c r="M19" i="1"/>
  <c r="N51" i="1"/>
  <c r="M53" i="1"/>
  <c r="M27" i="1"/>
  <c r="M9" i="1"/>
  <c r="M35" i="1"/>
  <c r="M17" i="1"/>
  <c r="M43" i="1"/>
  <c r="M51" i="1"/>
  <c r="M25" i="1"/>
  <c r="M33" i="1"/>
  <c r="M7" i="1"/>
  <c r="M41" i="1"/>
  <c r="M15" i="1"/>
  <c r="M49" i="1"/>
  <c r="M23" i="1"/>
  <c r="M5" i="1"/>
  <c r="N36" i="1"/>
  <c r="M31" i="1"/>
  <c r="M13" i="1"/>
  <c r="M39" i="1"/>
  <c r="M47" i="1"/>
  <c r="M21" i="1"/>
  <c r="M29" i="1"/>
  <c r="M55" i="1"/>
  <c r="M38" i="1"/>
  <c r="M48" i="1"/>
  <c r="M8" i="1"/>
  <c r="M16" i="1"/>
  <c r="M20" i="1"/>
  <c r="M24" i="1"/>
  <c r="M28" i="1"/>
  <c r="M32" i="1"/>
  <c r="M36" i="1"/>
  <c r="M52" i="1"/>
  <c r="M56" i="1"/>
  <c r="M40" i="1"/>
  <c r="M18" i="1"/>
</calcChain>
</file>

<file path=xl/sharedStrings.xml><?xml version="1.0" encoding="utf-8"?>
<sst xmlns="http://schemas.openxmlformats.org/spreadsheetml/2006/main" count="508" uniqueCount="166">
  <si>
    <t>MINI-MART SALES RECORDS - Q1 2026</t>
  </si>
  <si>
    <t>Fill in the yellow columns using the functions listed on the 'Assignment Questions' sheet.</t>
  </si>
  <si>
    <t>Order ID</t>
  </si>
  <si>
    <t>Date</t>
  </si>
  <si>
    <t>Salesperson</t>
  </si>
  <si>
    <t>Region</t>
  </si>
  <si>
    <t>Product Code</t>
  </si>
  <si>
    <t>Units Sold</t>
  </si>
  <si>
    <t>Customer Type</t>
  </si>
  <si>
    <t>Payment Method</t>
  </si>
  <si>
    <t>Product Name</t>
  </si>
  <si>
    <t>Category</t>
  </si>
  <si>
    <t>Unit Price (N)</t>
  </si>
  <si>
    <t>Total Sales (N)</t>
  </si>
  <si>
    <t>Sales Rating</t>
  </si>
  <si>
    <t>ORD1000</t>
  </si>
  <si>
    <t>Tunde Bakare</t>
  </si>
  <si>
    <t>Lagos</t>
  </si>
  <si>
    <t>P005</t>
  </si>
  <si>
    <t>New</t>
  </si>
  <si>
    <t>Transfer</t>
  </si>
  <si>
    <t>ORD1001</t>
  </si>
  <si>
    <t>Ibadan</t>
  </si>
  <si>
    <t>P007</t>
  </si>
  <si>
    <t>Cash</t>
  </si>
  <si>
    <t>ORD1002</t>
  </si>
  <si>
    <t>Adaeze Obi</t>
  </si>
  <si>
    <t>P004</t>
  </si>
  <si>
    <t>Returning</t>
  </si>
  <si>
    <t>ORD1003</t>
  </si>
  <si>
    <t>Ibrahim Musa</t>
  </si>
  <si>
    <t>Port Harcourt</t>
  </si>
  <si>
    <t>P010</t>
  </si>
  <si>
    <t>ORD1004</t>
  </si>
  <si>
    <t>Sadiq Bello</t>
  </si>
  <si>
    <t>Kano</t>
  </si>
  <si>
    <t>Card</t>
  </si>
  <si>
    <t>ORD1005</t>
  </si>
  <si>
    <t>P002</t>
  </si>
  <si>
    <t>ORD1006</t>
  </si>
  <si>
    <t>P009</t>
  </si>
  <si>
    <t>ORD1007</t>
  </si>
  <si>
    <t>Femi Alabi</t>
  </si>
  <si>
    <t>P006</t>
  </si>
  <si>
    <t>ORD1008</t>
  </si>
  <si>
    <t>ORD1009</t>
  </si>
  <si>
    <t>ORD1010</t>
  </si>
  <si>
    <t>P003</t>
  </si>
  <si>
    <t>ORD1011</t>
  </si>
  <si>
    <t>ORD1012</t>
  </si>
  <si>
    <t>ORD1013</t>
  </si>
  <si>
    <t>ORD1014</t>
  </si>
  <si>
    <t>Abuja</t>
  </si>
  <si>
    <t>ORD1015</t>
  </si>
  <si>
    <t>ORD1016</t>
  </si>
  <si>
    <t>Kemi Adisa</t>
  </si>
  <si>
    <t>P001</t>
  </si>
  <si>
    <t>ORD1017</t>
  </si>
  <si>
    <t>ORD1018</t>
  </si>
  <si>
    <t>ORD1019</t>
  </si>
  <si>
    <t>ORD1020</t>
  </si>
  <si>
    <t>ORD1021</t>
  </si>
  <si>
    <t>ORD1022</t>
  </si>
  <si>
    <t>Ngozi Umeh</t>
  </si>
  <si>
    <t>ORD1023</t>
  </si>
  <si>
    <t>ORD1024</t>
  </si>
  <si>
    <t>Chinwe Eze</t>
  </si>
  <si>
    <t>P008</t>
  </si>
  <si>
    <t>ORD1025</t>
  </si>
  <si>
    <t>ORD1026</t>
  </si>
  <si>
    <t>ORD1027</t>
  </si>
  <si>
    <t>ORD1028</t>
  </si>
  <si>
    <t>ORD1029</t>
  </si>
  <si>
    <t>ORD1030</t>
  </si>
  <si>
    <t>Lagos Total Sales</t>
  </si>
  <si>
    <t>ORD1031</t>
  </si>
  <si>
    <t>ORD1032</t>
  </si>
  <si>
    <t>ORD1033</t>
  </si>
  <si>
    <t>ORD1034</t>
  </si>
  <si>
    <t>ORD1035</t>
  </si>
  <si>
    <t>Tunde Bakare Total Unit Sold</t>
  </si>
  <si>
    <t>ORD1036</t>
  </si>
  <si>
    <t>ORD1037</t>
  </si>
  <si>
    <t>ORD1038</t>
  </si>
  <si>
    <t>ORD1039</t>
  </si>
  <si>
    <t>ORD1040</t>
  </si>
  <si>
    <t>Count Transfer Payments</t>
  </si>
  <si>
    <t>ORD1041</t>
  </si>
  <si>
    <t>ORD1042</t>
  </si>
  <si>
    <t>ORD1043</t>
  </si>
  <si>
    <t>ORD1044</t>
  </si>
  <si>
    <t>ORD1045</t>
  </si>
  <si>
    <t>Abuja + Card Total Sales</t>
  </si>
  <si>
    <t>ORD1046</t>
  </si>
  <si>
    <t>ORD1047</t>
  </si>
  <si>
    <t>ORD1048</t>
  </si>
  <si>
    <t>ORD1049</t>
  </si>
  <si>
    <t>ORD1050</t>
  </si>
  <si>
    <t>New Customers in Kano</t>
  </si>
  <si>
    <t>ORD1051</t>
  </si>
  <si>
    <t>ORD1052</t>
  </si>
  <si>
    <t>ORD1053</t>
  </si>
  <si>
    <t>ORD1054</t>
  </si>
  <si>
    <t>ORD1055</t>
  </si>
  <si>
    <t>Lagos AND Returning</t>
  </si>
  <si>
    <t>ORD1056</t>
  </si>
  <si>
    <t>ORD1057</t>
  </si>
  <si>
    <t>ORD1058</t>
  </si>
  <si>
    <t>ORD1059</t>
  </si>
  <si>
    <t>PRODUCT PRICE LIST</t>
  </si>
  <si>
    <t>Use this table as the lookup range for VLOOKUP. Consider naming this range.</t>
  </si>
  <si>
    <t>Rice (50kg bag)</t>
  </si>
  <si>
    <t>Grains</t>
  </si>
  <si>
    <t>Beans (50kg bag)</t>
  </si>
  <si>
    <t>Vegetable Oil (25L)</t>
  </si>
  <si>
    <t>Cooking Essentials</t>
  </si>
  <si>
    <t>Granulated Sugar (50kg)</t>
  </si>
  <si>
    <t>Powdered Milk (Carton)</t>
  </si>
  <si>
    <t>Dairy</t>
  </si>
  <si>
    <t>Wheat Flour (50kg)</t>
  </si>
  <si>
    <t>Table Salt (Carton)</t>
  </si>
  <si>
    <t>Instant Noodles (Carton)</t>
  </si>
  <si>
    <t>Packaged Foods</t>
  </si>
  <si>
    <t>Laundry Detergent (Carton)</t>
  </si>
  <si>
    <t>Household</t>
  </si>
  <si>
    <t>Bathing Soap (Carton)</t>
  </si>
  <si>
    <t xml:space="preserve">SALES RATING GUIDE </t>
  </si>
  <si>
    <t>Rating</t>
  </si>
  <si>
    <t>Less than 500,000</t>
  </si>
  <si>
    <t>Low</t>
  </si>
  <si>
    <t>500,000 - 999,999</t>
  </si>
  <si>
    <t>Medium</t>
  </si>
  <si>
    <t>1,000,000 - 1,999,999</t>
  </si>
  <si>
    <t>High</t>
  </si>
  <si>
    <t>2,000,000 and above</t>
  </si>
  <si>
    <t>Excellent</t>
  </si>
  <si>
    <t>EXCEL ASSIGNMENT - SALES DATA ANALYSIS</t>
  </si>
  <si>
    <t>Use the 'Sales Data' and 'Product List' sheets to answer the questions below.</t>
  </si>
  <si>
    <t>No.</t>
  </si>
  <si>
    <t>Question</t>
  </si>
  <si>
    <t>Topic</t>
  </si>
  <si>
    <t>Your Answer</t>
  </si>
  <si>
    <t>On the 'Sales Data' sheet, use the Product Code (column E) to look up and fill in the Product Name, Category, and Unit Price for every order, using the Product List sheet as your lookup table.</t>
  </si>
  <si>
    <t>VLOOKUP</t>
  </si>
  <si>
    <t>Calculate the Total Sales (N) for every order as Units Sold x Unit Price.</t>
  </si>
  <si>
    <t>Formula (basic)</t>
  </si>
  <si>
    <t>Using the Sales Rating Guide on the Product List sheet, create a Sales Rating for every order (Low, Medium, High, or Excellent) based on its Total Sales.</t>
  </si>
  <si>
    <t>IFS</t>
  </si>
  <si>
    <t>Find the total sales value (N) for all orders from the Lagos region.</t>
  </si>
  <si>
    <t>SUMIF</t>
  </si>
  <si>
    <t>Find the total number of units sold by the salesperson 'Tunde Bakare'.</t>
  </si>
  <si>
    <t>Count how many orders were paid for using 'Transfer'.</t>
  </si>
  <si>
    <t>COUNTIF</t>
  </si>
  <si>
    <t>Find the total sales value (N) for orders from the Abuja region that were paid for with 'Card'.</t>
  </si>
  <si>
    <t>SUMIFS</t>
  </si>
  <si>
    <t>Count how many orders were from 'New' customers in the Kano region.</t>
  </si>
  <si>
    <t>COUNTIFS</t>
  </si>
  <si>
    <t>In a new column, use the AND function to flag (TRUE/FALSE) orders where the Region is 'Lagos' AND the Customer Type is 'Returning'.</t>
  </si>
  <si>
    <t>AND</t>
  </si>
  <si>
    <t>In 2-3 sentences, summarise which region generated the most sales and which salesperson performed best, based on the formulas you built above.</t>
  </si>
  <si>
    <t>Data Analysis (open-ended)</t>
  </si>
  <si>
    <t>Sum of Total Sales (N)</t>
  </si>
  <si>
    <t>Count of Order ID</t>
  </si>
  <si>
    <t>Sum of Units Sold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</si>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</sst>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6" formatCode="mmm"/>
    <numFmt numFmtId="167" formatCode="dd\-mmm\-yyyy"/>
  </numFmts>
  <fonts count="11">
    <font>
      <sz val="11"/>
      <color theme="1"/>
      <name val="Calibri"/>
      <charset val="1"/>
    </font>
    <font>
      <b/>
      <sz val="14"/>
      <color rgb="FF1F4E78"/>
      <name val="Arial"/>
      <charset val="134"/>
    </font>
    <font>
      <i/>
      <sz val="10"/>
      <color rgb="FF555555"/>
      <name val="Arial"/>
      <charset val="134"/>
    </font>
    <font>
      <b/>
      <sz val="11"/>
      <color rgb="FFFFFFFF"/>
      <name val="Arial"/>
      <charset val="134"/>
    </font>
    <font>
      <sz val="11"/>
      <name val="Arial"/>
      <charset val="134"/>
    </font>
    <font>
      <b/>
      <sz val="11"/>
      <name val="Arial"/>
      <charset val="134"/>
    </font>
    <font>
      <sz val="11"/>
      <name val="Calibri"/>
      <charset val="1"/>
    </font>
    <font>
      <b/>
      <sz val="11"/>
      <color theme="1"/>
      <name val="Calibri"/>
      <charset val="134"/>
    </font>
    <font>
      <u/>
      <sz val="11"/>
      <color theme="10"/>
      <name val="Calibri"/>
      <charset val="1"/>
    </font>
    <font>
      <b/>
      <sz val="11"/>
      <color theme="1"/>
      <name val="Calibri"/>
      <family val="2"/>
    </font>
    <font>
      <b/>
      <sz val="14"/>
      <color rgb="FF1F4E78"/>
      <name val="Arial"/>
      <family val="2"/>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NumberFormat="1" applyAlignment="1">
      <alignment horizontal="center"/>
    </xf>
    <xf numFmtId="0" fontId="0" fillId="0" borderId="0" xfId="0" applyAlignment="1">
      <alignment horizontal="left"/>
    </xf>
    <xf numFmtId="0" fontId="0" fillId="0" borderId="0" xfId="0" applyNumberFormat="1"/>
    <xf numFmtId="166" fontId="0" fillId="0" borderId="0" xfId="0" applyNumberFormat="1" applyAlignment="1">
      <alignment horizontal="left"/>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4" fillId="3" borderId="1" xfId="0" applyFont="1" applyFill="1" applyBorder="1" applyAlignment="1">
      <alignment vertical="top" wrapText="1"/>
    </xf>
    <xf numFmtId="0" fontId="3" fillId="2" borderId="1" xfId="0" applyFont="1" applyFill="1" applyBorder="1" applyAlignment="1">
      <alignment horizontal="center" vertical="center"/>
    </xf>
    <xf numFmtId="0" fontId="4" fillId="0" borderId="1" xfId="0" applyFont="1" applyBorder="1"/>
    <xf numFmtId="0" fontId="5" fillId="0" borderId="0" xfId="0" applyFont="1"/>
    <xf numFmtId="0" fontId="3" fillId="2" borderId="1" xfId="0" applyFont="1" applyFill="1" applyBorder="1"/>
    <xf numFmtId="167" fontId="4" fillId="0" borderId="1" xfId="0" applyNumberFormat="1" applyFont="1" applyBorder="1"/>
    <xf numFmtId="0" fontId="0" fillId="3" borderId="1" xfId="0" applyFill="1" applyBorder="1"/>
    <xf numFmtId="0" fontId="6" fillId="3" borderId="1" xfId="1" applyFont="1" applyFill="1" applyBorder="1"/>
    <xf numFmtId="0" fontId="7" fillId="0" borderId="0" xfId="0" applyFont="1" applyAlignment="1">
      <alignment horizontal="center"/>
    </xf>
    <xf numFmtId="0" fontId="7" fillId="0" borderId="0" xfId="0" applyFont="1"/>
    <xf numFmtId="0" fontId="2" fillId="0" borderId="0" xfId="0" applyFont="1"/>
    <xf numFmtId="0" fontId="9" fillId="0" borderId="0" xfId="0" applyFont="1" applyAlignment="1">
      <alignment horizontal="center"/>
    </xf>
    <xf numFmtId="0" fontId="10" fillId="0" borderId="0" xfId="0" applyFont="1"/>
  </cellXfs>
  <cellStyles count="2">
    <cellStyle name="Hyperlink" xfId="1" builtinId="8"/>
    <cellStyle name="Normal" xfId="0" builtinId="0"/>
  </cellStyles>
  <dxfs count="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55555"/>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256.3704609954" createdVersion="5" refreshedVersion="5" minRefreshableVersion="3" recordCount="60">
  <cacheSource type="worksheet">
    <worksheetSource ref="A4:M64" sheet="Sales Data"/>
  </cacheSource>
  <cacheFields count="13">
    <cacheField name="Order ID" numFmtId="0">
      <sharedItems containsSemiMixedTypes="0" containsNonDate="0" containsString="0"/>
    </cacheField>
    <cacheField name="Date" numFmtId="167">
      <sharedItems containsSemiMixedTypes="0" containsNonDate="0" containsString="0"/>
    </cacheField>
    <cacheField name="Salesperson" numFmtId="0">
      <sharedItems containsSemiMixedTypes="0" containsNonDate="0" containsString="0"/>
    </cacheField>
    <cacheField name="Region" numFmtId="0">
      <sharedItems containsSemiMixedTypes="0" containsNonDate="0" containsString="0"/>
    </cacheField>
    <cacheField name="Product Code" numFmtId="0">
      <sharedItems containsSemiMixedTypes="0" containsNonDate="0" containsString="0"/>
    </cacheField>
    <cacheField name="Units Sold" numFmtId="0">
      <sharedItems containsSemiMixedTypes="0" containsNonDate="0" containsString="0"/>
    </cacheField>
    <cacheField name="Customer Type" numFmtId="0">
      <sharedItems containsSemiMixedTypes="0" containsNonDate="0" containsString="0"/>
    </cacheField>
    <cacheField name="Payment Method" numFmtId="0">
      <sharedItems containsSemiMixedTypes="0" containsNonDate="0" containsString="0"/>
    </cacheField>
    <cacheField name="Product Name" numFmtId="0">
      <sharedItems containsSemiMixedTypes="0" containsNonDate="0" containsString="0"/>
    </cacheField>
    <cacheField name="Category" numFmtId="0">
      <sharedItems containsSemiMixedTypes="0" containsNonDate="0" containsString="0"/>
    </cacheField>
    <cacheField name="Unit Price (N)" numFmtId="0">
      <sharedItems containsSemiMixedTypes="0" containsNonDate="0" containsString="0"/>
    </cacheField>
    <cacheField name="Total Sales (N)" numFmtId="0">
      <sharedItems containsSemiMixedTypes="0" containsNonDate="0" containsString="0"/>
    </cacheField>
    <cacheField name="Sales Rating"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256.375003819398" createdVersion="5" refreshedVersion="5" minRefreshableVersion="3" recordCount="60">
  <cacheSource type="worksheet">
    <worksheetSource ref="A4:M64" sheet="Sales Data"/>
  </cacheSource>
  <cacheFields count="13">
    <cacheField name="Order ID" numFmtId="0">
      <sharedItems count="6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haredItems>
    </cacheField>
    <cacheField name="Date" numFmtId="167">
      <sharedItems containsSemiMixedTypes="0" containsNonDate="0" containsDate="1" containsString="0" minDate="2026-01-05T00:00:00" maxDate="2026-03-27T00:00:00" count="44">
        <d v="2026-03-27T00:00:00"/>
        <d v="2026-01-18T00:00:00"/>
        <d v="2026-02-03T00:00:00"/>
        <d v="2026-02-27T00:00:00"/>
        <d v="2026-01-25T00:00:00"/>
        <d v="2026-02-07T00:00:00"/>
        <d v="2026-01-15T00:00:00"/>
        <d v="2026-01-10T00:00:00"/>
        <d v="2026-02-22T00:00:00"/>
        <d v="2026-02-08T00:00:00"/>
        <d v="2026-03-05T00:00:00"/>
        <d v="2026-02-14T00:00:00"/>
        <d v="2026-01-23T00:00:00"/>
        <d v="2026-03-20T00:00:00"/>
        <d v="2026-03-11T00:00:00"/>
        <d v="2026-03-13T00:00:00"/>
        <d v="2026-03-14T00:00:00"/>
        <d v="2026-01-05T00:00:00"/>
        <d v="2026-02-12T00:00:00"/>
        <d v="2026-02-04T00:00:00"/>
        <d v="2026-01-13T00:00:00"/>
        <d v="2026-03-23T00:00:00"/>
        <d v="2026-02-13T00:00:00"/>
        <d v="2026-02-05T00:00:00"/>
        <d v="2026-03-21T00:00:00"/>
        <d v="2026-03-08T00:00:00"/>
        <d v="2026-03-19T00:00:00"/>
        <d v="2026-01-17T00:00:00"/>
        <d v="2026-01-11T00:00:00"/>
        <d v="2026-02-09T00:00:00"/>
        <d v="2026-01-26T00:00:00"/>
        <d v="2026-02-10T00:00:00"/>
        <d v="2026-01-12T00:00:00"/>
        <d v="2026-03-22T00:00:00"/>
        <d v="2026-03-12T00:00:00"/>
        <d v="2026-01-06T00:00:00"/>
        <d v="2026-03-10T00:00:00"/>
        <d v="2026-02-21T00:00:00"/>
        <d v="2026-03-24T00:00:00"/>
        <d v="2026-01-31T00:00:00"/>
        <d v="2026-01-16T00:00:00"/>
        <d v="2026-02-19T00:00:00"/>
        <d v="2026-03-25T00:00:00"/>
        <d v="2026-01-08T00:00:00"/>
      </sharedItems>
    </cacheField>
    <cacheField name="Salesperson" numFmtId="0">
      <sharedItems count="8">
        <s v="Tunde Bakare"/>
        <s v="Adaeze Obi"/>
        <s v="Ibrahim Musa"/>
        <s v="Sadiq Bello"/>
        <s v="Femi Alabi"/>
        <s v="Kemi Adisa"/>
        <s v="Ngozi Umeh"/>
        <s v="Chinwe Eze"/>
      </sharedItems>
    </cacheField>
    <cacheField name="Region" numFmtId="0">
      <sharedItems count="5">
        <s v="Lagos"/>
        <s v="Ibadan"/>
        <s v="Port Harcourt"/>
        <s v="Kano"/>
        <s v="Abuja"/>
      </sharedItems>
    </cacheField>
    <cacheField name="Product Code" numFmtId="0">
      <sharedItems containsSemiMixedTypes="0" containsNonDate="0" containsString="0"/>
    </cacheField>
    <cacheField name="Units Sold" numFmtId="0">
      <sharedItems containsSemiMixedTypes="0" containsNonDate="0" containsString="0"/>
    </cacheField>
    <cacheField name="Customer Type" numFmtId="0">
      <sharedItems containsSemiMixedTypes="0" containsNonDate="0" containsString="0"/>
    </cacheField>
    <cacheField name="Payment Method" numFmtId="0">
      <sharedItems containsSemiMixedTypes="0" containsNonDate="0" containsString="0"/>
    </cacheField>
    <cacheField name="Product Name" numFmtId="0">
      <sharedItems count="10">
        <s v="Powdered Milk (Carton)"/>
        <s v="Table Salt (Carton)"/>
        <s v="Granulated Sugar (50kg)"/>
        <s v="Bathing Soap (Carton)"/>
        <s v="Beans (50kg bag)"/>
        <s v="Laundry Detergent (Carton)"/>
        <s v="Wheat Flour (50kg)"/>
        <s v="Vegetable Oil (25L)"/>
        <s v="Rice (50kg bag)"/>
        <s v="Instant Noodles (Carton)"/>
      </sharedItems>
    </cacheField>
    <cacheField name="Category" numFmtId="0">
      <sharedItems count="5">
        <s v="Dairy"/>
        <s v="Cooking Essentials"/>
        <s v="Household"/>
        <s v="Grains"/>
        <s v="Packaged Foods"/>
      </sharedItems>
    </cacheField>
    <cacheField name="Unit Price (N)" numFmtId="0">
      <sharedItems containsSemiMixedTypes="0" containsNonDate="0" containsString="0"/>
    </cacheField>
    <cacheField name="Total Sales (N)" numFmtId="0">
      <sharedItems containsSemiMixedTypes="0" containsString="0" containsNumber="1" containsInteger="1" minValue="0" maxValue="3876000" count="56">
        <n v="544000"/>
        <n v="34000"/>
        <n v="2726000"/>
        <n v="294500"/>
        <n v="352000"/>
        <n v="1488000"/>
        <n v="189000"/>
        <n v="1558000"/>
        <n v="3472000"/>
        <n v="492000"/>
        <n v="1620000"/>
        <n v="336000"/>
        <n v="161500"/>
        <n v="493000"/>
        <n v="2842000"/>
        <n v="212500"/>
        <n v="3876000"/>
        <n v="1612000"/>
        <n v="3060000"/>
        <n v="1240000"/>
        <n v="1530000"/>
        <n v="2050000"/>
        <n v="612000"/>
        <n v="108500"/>
        <n v="462500"/>
        <n v="1050000"/>
        <n v="737500"/>
        <n v="123000"/>
        <n v="2914000"/>
        <n v="2108000"/>
        <n v="2160000"/>
        <n v="662500"/>
        <n v="238000"/>
        <n v="408000"/>
        <n v="630000"/>
        <n v="1860000"/>
        <n v="476000"/>
        <n v="187500"/>
        <n v="153000"/>
        <n v="137500"/>
        <n v="340000"/>
        <n v="147000"/>
        <n v="76500"/>
        <n v="1736000"/>
        <n v="2552000"/>
        <n v="992000"/>
        <n v="124000"/>
        <n v="2378000"/>
        <n v="687500"/>
        <n v="1408000"/>
        <n v="231000"/>
        <n v="1088000"/>
        <n v="136000"/>
        <n v="180000"/>
        <n v="2385000"/>
        <n v="450500"/>
      </sharedItems>
    </cacheField>
    <cacheField name="Sales Rating"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0">
  <r>
    <s v="ORD1000"/>
    <d v="2026-03-27T00:00:00"/>
    <s v="Tunde Bakare"/>
    <s v="Lagos"/>
    <s v="P005"/>
    <n v="17"/>
    <s v="New"/>
    <s v="Transfer"/>
    <s v="Powdered Milk (Carton)"/>
    <s v="Dairy"/>
    <n v="32000"/>
    <n v="544000"/>
    <s v="Medium"/>
  </r>
  <r>
    <s v="ORD1001"/>
    <d v="2026-01-18T00:00:00"/>
    <s v="Tunde Bakare"/>
    <s v="Ibadan"/>
    <s v="P007"/>
    <n v="4"/>
    <s v="New"/>
    <s v="Cash"/>
    <s v="Table Salt (Carton)"/>
    <s v="Cooking Essentials"/>
    <n v="8500"/>
    <n v="34000"/>
    <s v="Low"/>
  </r>
  <r>
    <s v="ORD1002"/>
    <d v="2026-02-03T00:00:00"/>
    <s v="Adaeze Obi"/>
    <s v="Ibadan"/>
    <s v="P004"/>
    <n v="47"/>
    <s v="Returning"/>
    <s v="Transfer"/>
    <s v="Granulated Sugar (50kg)"/>
    <s v="Cooking Essentials"/>
    <n v="58000"/>
    <n v="2726000"/>
    <s v="Excellent"/>
  </r>
  <r>
    <s v="ORD1003"/>
    <d v="2026-02-27T00:00:00"/>
    <s v="Ibrahim Musa"/>
    <s v="Port Harcourt"/>
    <s v="P010"/>
    <n v="19"/>
    <s v="Returning"/>
    <s v="Cash"/>
    <s v="Bathing Soap (Carton)"/>
    <s v="Household"/>
    <n v="15500"/>
    <n v="294500"/>
    <s v="Low"/>
  </r>
  <r>
    <s v="ORD1004"/>
    <d v="2026-01-25T00:00:00"/>
    <s v="Sadiq Bello"/>
    <s v="Kano"/>
    <s v="P005"/>
    <n v="11"/>
    <s v="New"/>
    <s v="Card"/>
    <s v="Powdered Milk (Carton)"/>
    <s v="Dairy"/>
    <n v="32000"/>
    <n v="352000"/>
    <s v="Low"/>
  </r>
  <r>
    <s v="ORD1005"/>
    <d v="2026-01-18T00:00:00"/>
    <s v="Tunde Bakare"/>
    <s v="Port Harcourt"/>
    <s v="P002"/>
    <n v="24"/>
    <s v="Returning"/>
    <s v="Transfer"/>
    <s v="Beans (50kg bag)"/>
    <s v="Grains"/>
    <n v="62000"/>
    <n v="1488000"/>
    <s v="High"/>
  </r>
  <r>
    <s v="ORD1006"/>
    <d v="2026-02-07T00:00:00"/>
    <s v="Adaeze Obi"/>
    <s v="Port Harcourt"/>
    <s v="P009"/>
    <n v="9"/>
    <s v="Returning"/>
    <s v="Card"/>
    <s v="Laundry Detergent (Carton)"/>
    <s v="Household"/>
    <n v="21000"/>
    <n v="189000"/>
    <s v="Low"/>
  </r>
  <r>
    <s v="ORD1007"/>
    <d v="2026-01-15T00:00:00"/>
    <s v="Femi Alabi"/>
    <s v="Ibadan"/>
    <s v="P006"/>
    <n v="38"/>
    <s v="New"/>
    <s v="Cash"/>
    <s v="Wheat Flour (50kg)"/>
    <s v="Grains"/>
    <n v="41000"/>
    <n v="1558000"/>
    <s v="High"/>
  </r>
  <r>
    <s v="ORD1008"/>
    <d v="2026-01-10T00:00:00"/>
    <s v="Ibrahim Musa"/>
    <s v="Kano"/>
    <s v="P002"/>
    <n v="56"/>
    <s v="New"/>
    <s v="Cash"/>
    <s v="Beans (50kg bag)"/>
    <s v="Grains"/>
    <n v="62000"/>
    <n v="3472000"/>
    <s v="Excellent"/>
  </r>
  <r>
    <s v="ORD1009"/>
    <d v="2026-02-22T00:00:00"/>
    <s v="Femi Alabi"/>
    <s v="Port Harcourt"/>
    <s v="P006"/>
    <n v="12"/>
    <s v="New"/>
    <s v="Cash"/>
    <s v="Wheat Flour (50kg)"/>
    <s v="Grains"/>
    <n v="41000"/>
    <n v="492000"/>
    <s v="Low"/>
  </r>
  <r>
    <s v="ORD1010"/>
    <d v="2026-02-08T00:00:00"/>
    <s v="Tunde Bakare"/>
    <s v="Ibadan"/>
    <s v="P003"/>
    <n v="36"/>
    <s v="Returning"/>
    <s v="Cash"/>
    <s v="Vegetable Oil (25L)"/>
    <s v="Cooking Essentials"/>
    <n v="45000"/>
    <n v="1620000"/>
    <s v="High"/>
  </r>
  <r>
    <s v="ORD1011"/>
    <d v="2026-03-05T00:00:00"/>
    <s v="Sadiq Bello"/>
    <s v="Kano"/>
    <s v="P009"/>
    <n v="16"/>
    <s v="Returning"/>
    <s v="Cash"/>
    <s v="Laundry Detergent (Carton)"/>
    <s v="Household"/>
    <n v="21000"/>
    <n v="336000"/>
    <s v="Low"/>
  </r>
  <r>
    <s v="ORD1012"/>
    <d v="2026-02-03T00:00:00"/>
    <s v="Adaeze Obi"/>
    <s v="Kano"/>
    <s v="P007"/>
    <n v="19"/>
    <s v="New"/>
    <s v="Transfer"/>
    <s v="Table Salt (Carton)"/>
    <s v="Cooking Essentials"/>
    <n v="8500"/>
    <n v="161500"/>
    <s v="Low"/>
  </r>
  <r>
    <s v="ORD1013"/>
    <d v="2026-02-14T00:00:00"/>
    <s v="Ibrahim Musa"/>
    <s v="Port Harcourt"/>
    <s v="P007"/>
    <n v="58"/>
    <s v="Returning"/>
    <s v="Card"/>
    <s v="Table Salt (Carton)"/>
    <s v="Cooking Essentials"/>
    <n v="8500"/>
    <n v="493000"/>
    <s v="Low"/>
  </r>
  <r>
    <s v="ORD1014"/>
    <d v="2026-01-23T00:00:00"/>
    <s v="Femi Alabi"/>
    <s v="Abuja"/>
    <s v="P004"/>
    <n v="49"/>
    <s v="Returning"/>
    <s v="Card"/>
    <s v="Granulated Sugar (50kg)"/>
    <s v="Cooking Essentials"/>
    <n v="58000"/>
    <n v="2842000"/>
    <s v="Excellent"/>
  </r>
  <r>
    <s v="ORD1015"/>
    <d v="2026-03-20T00:00:00"/>
    <s v="Sadiq Bello"/>
    <s v="Ibadan"/>
    <s v="P007"/>
    <n v="25"/>
    <s v="New"/>
    <s v="Cash"/>
    <s v="Table Salt (Carton)"/>
    <s v="Cooking Essentials"/>
    <n v="8500"/>
    <n v="212500"/>
    <s v="Low"/>
  </r>
  <r>
    <s v="ORD1016"/>
    <d v="2026-03-11T00:00:00"/>
    <s v="Kemi Adisa"/>
    <s v="Lagos"/>
    <s v="P001"/>
    <n v="57"/>
    <s v="New"/>
    <s v="Transfer"/>
    <s v="Rice (50kg bag)"/>
    <s v="Grains"/>
    <n v="68000"/>
    <n v="3876000"/>
    <s v="Excellent"/>
  </r>
  <r>
    <s v="ORD1017"/>
    <d v="2026-01-25T00:00:00"/>
    <s v="Sadiq Bello"/>
    <s v="Ibadan"/>
    <s v="P002"/>
    <n v="26"/>
    <s v="New"/>
    <s v="Card"/>
    <s v="Beans (50kg bag)"/>
    <s v="Grains"/>
    <n v="62000"/>
    <n v="1612000"/>
    <s v="High"/>
  </r>
  <r>
    <s v="ORD1018"/>
    <d v="2026-03-13T00:00:00"/>
    <s v="Femi Alabi"/>
    <s v="Ibadan"/>
    <s v="P001"/>
    <n v="45"/>
    <s v="Returning"/>
    <s v="Transfer"/>
    <s v="Rice (50kg bag)"/>
    <s v="Grains"/>
    <n v="68000"/>
    <n v="3060000"/>
    <s v="Excellent"/>
  </r>
  <r>
    <s v="ORD1019"/>
    <d v="2026-03-14T00:00:00"/>
    <s v="Femi Alabi"/>
    <s v="Kano"/>
    <s v="P002"/>
    <n v="20"/>
    <s v="New"/>
    <s v="Card"/>
    <s v="Beans (50kg bag)"/>
    <s v="Grains"/>
    <n v="62000"/>
    <n v="1240000"/>
    <s v="High"/>
  </r>
  <r>
    <s v="ORD1020"/>
    <d v="2026-01-05T00:00:00"/>
    <s v="Femi Alabi"/>
    <s v="Ibadan"/>
    <s v="P003"/>
    <n v="34"/>
    <s v="Returning"/>
    <s v="Transfer"/>
    <s v="Vegetable Oil (25L)"/>
    <s v="Cooking Essentials"/>
    <n v="45000"/>
    <n v="1530000"/>
    <s v="High"/>
  </r>
  <r>
    <s v="ORD1021"/>
    <d v="2026-02-12T00:00:00"/>
    <s v="Ibrahim Musa"/>
    <s v="Abuja"/>
    <s v="P006"/>
    <n v="50"/>
    <s v="New"/>
    <s v="Transfer"/>
    <s v="Wheat Flour (50kg)"/>
    <s v="Grains"/>
    <n v="41000"/>
    <n v="2050000"/>
    <s v="Excellent"/>
  </r>
  <r>
    <s v="ORD1022"/>
    <d v="2026-01-05T00:00:00"/>
    <s v="Ngozi Umeh"/>
    <s v="Port Harcourt"/>
    <s v="P001"/>
    <n v="9"/>
    <s v="Returning"/>
    <s v="Card"/>
    <s v="Rice (50kg bag)"/>
    <s v="Grains"/>
    <n v="68000"/>
    <n v="612000"/>
    <s v="Medium"/>
  </r>
  <r>
    <s v="ORD1023"/>
    <d v="2026-02-04T00:00:00"/>
    <s v="Adaeze Obi"/>
    <s v="Abuja"/>
    <s v="P010"/>
    <n v="7"/>
    <s v="New"/>
    <s v="Card"/>
    <s v="Bathing Soap (Carton)"/>
    <s v="Household"/>
    <n v="15500"/>
    <n v="108500"/>
    <s v="Low"/>
  </r>
  <r>
    <s v="ORD1024"/>
    <d v="2026-01-13T00:00:00"/>
    <s v="Chinwe Eze"/>
    <s v="Abuja"/>
    <s v="P008"/>
    <n v="37"/>
    <s v="New"/>
    <s v="Transfer"/>
    <s v="Instant Noodles (Carton)"/>
    <s v="Packaged Foods"/>
    <n v="12500"/>
    <n v="462500"/>
    <s v="Low"/>
  </r>
  <r>
    <s v="ORD1025"/>
    <d v="2026-03-23T00:00:00"/>
    <s v="Sadiq Bello"/>
    <s v="Abuja"/>
    <s v="P009"/>
    <n v="50"/>
    <s v="Returning"/>
    <s v="Cash"/>
    <s v="Laundry Detergent (Carton)"/>
    <s v="Household"/>
    <n v="21000"/>
    <n v="1050000"/>
    <s v="High"/>
  </r>
  <r>
    <s v="ORD1026"/>
    <d v="2026-02-13T00:00:00"/>
    <s v="Sadiq Bello"/>
    <s v="Kano"/>
    <s v="P008"/>
    <n v="59"/>
    <s v="Returning"/>
    <s v="Cash"/>
    <s v="Instant Noodles (Carton)"/>
    <s v="Packaged Foods"/>
    <n v="12500"/>
    <n v="737500"/>
    <s v="Medium"/>
  </r>
  <r>
    <s v="ORD1027"/>
    <d v="2026-02-05T00:00:00"/>
    <s v="Ibrahim Musa"/>
    <s v="Lagos"/>
    <s v="P006"/>
    <n v="3"/>
    <s v="Returning"/>
    <s v="Cash"/>
    <s v="Wheat Flour (50kg)"/>
    <s v="Grains"/>
    <n v="41000"/>
    <n v="123000"/>
    <s v="Low"/>
  </r>
  <r>
    <s v="ORD1028"/>
    <d v="2026-03-21T00:00:00"/>
    <s v="Ibrahim Musa"/>
    <s v="Lagos"/>
    <s v="P002"/>
    <n v="47"/>
    <s v="Returning"/>
    <s v="Cash"/>
    <s v="Beans (50kg bag)"/>
    <s v="Grains"/>
    <n v="62000"/>
    <n v="2914000"/>
    <s v="Excellent"/>
  </r>
  <r>
    <s v="ORD1029"/>
    <d v="2026-01-13T00:00:00"/>
    <s v="Adaeze Obi"/>
    <s v="Kano"/>
    <s v="P002"/>
    <n v="34"/>
    <s v="New"/>
    <s v="Transfer"/>
    <s v="Beans (50kg bag)"/>
    <s v="Grains"/>
    <n v="62000"/>
    <n v="2108000"/>
    <s v="Low"/>
  </r>
  <r>
    <s v="ORD1030"/>
    <d v="2026-03-08T00:00:00"/>
    <s v="Ibrahim Musa"/>
    <s v="Ibadan"/>
    <s v="P003"/>
    <n v="48"/>
    <s v="Returning"/>
    <s v="Transfer"/>
    <s v="Vegetable Oil (25L)"/>
    <s v="Cooking Essentials"/>
    <n v="45000"/>
    <n v="2160000"/>
    <s v="Low"/>
  </r>
  <r>
    <s v="ORD1031"/>
    <d v="2026-03-19T00:00:00"/>
    <s v="Kemi Adisa"/>
    <s v="Abuja"/>
    <s v="P008"/>
    <n v="53"/>
    <s v="New"/>
    <s v="Cash"/>
    <s v="Instant Noodles (Carton)"/>
    <s v="Packaged Foods"/>
    <n v="12500"/>
    <n v="662500"/>
    <s v="High"/>
  </r>
  <r>
    <s v="ORD1032"/>
    <d v="2026-01-17T00:00:00"/>
    <s v="Sadiq Bello"/>
    <s v="Kano"/>
    <s v="P007"/>
    <n v="28"/>
    <s v="Returning"/>
    <s v="Transfer"/>
    <s v="Table Salt (Carton)"/>
    <s v="Cooking Essentials"/>
    <n v="8500"/>
    <n v="238000"/>
    <s v="Low"/>
  </r>
  <r>
    <s v="ORD1033"/>
    <d v="2026-01-11T00:00:00"/>
    <s v="Tunde Bakare"/>
    <s v="Lagos"/>
    <s v="P007"/>
    <n v="48"/>
    <s v="New"/>
    <s v="Cash"/>
    <s v="Table Salt (Carton)"/>
    <s v="Cooking Essentials"/>
    <n v="8500"/>
    <n v="408000"/>
    <s v="High"/>
  </r>
  <r>
    <s v="ORD1034"/>
    <d v="2026-02-05T00:00:00"/>
    <s v="Ibrahim Musa"/>
    <s v="Abuja"/>
    <s v="P009"/>
    <n v="30"/>
    <s v="New"/>
    <s v="Cash"/>
    <s v="Laundry Detergent (Carton)"/>
    <s v="Household"/>
    <n v="21000"/>
    <n v="630000"/>
    <s v="Excellent"/>
  </r>
  <r>
    <s v="ORD1035"/>
    <d v="2026-02-09T00:00:00"/>
    <s v="Kemi Adisa"/>
    <s v="Abuja"/>
    <s v="P002"/>
    <n v="30"/>
    <s v="Returning"/>
    <s v="Transfer"/>
    <s v="Beans (50kg bag)"/>
    <s v="Grains"/>
    <n v="62000"/>
    <n v="1860000"/>
    <s v="Low"/>
  </r>
  <r>
    <s v="ORD1036"/>
    <d v="2026-01-17T00:00:00"/>
    <s v="Adaeze Obi"/>
    <s v="Ibadan"/>
    <s v="P001"/>
    <n v="7"/>
    <s v="Returning"/>
    <s v="Cash"/>
    <s v="Rice (50kg bag)"/>
    <s v="Grains"/>
    <n v="68000"/>
    <n v="476000"/>
    <s v="High"/>
  </r>
  <r>
    <s v="ORD1037"/>
    <d v="2026-01-26T00:00:00"/>
    <s v="Sadiq Bello"/>
    <s v="Port Harcourt"/>
    <s v="P008"/>
    <n v="15"/>
    <s v="Returning"/>
    <s v="Cash"/>
    <s v="Instant Noodles (Carton)"/>
    <s v="Packaged Foods"/>
    <n v="12500"/>
    <n v="187500"/>
    <s v="Low"/>
  </r>
  <r>
    <s v="ORD1038"/>
    <d v="2026-01-26T00:00:00"/>
    <s v="Sadiq Bello"/>
    <s v="Lagos"/>
    <s v="P007"/>
    <n v="18"/>
    <s v="Returning"/>
    <s v="Card"/>
    <s v="Table Salt (Carton)"/>
    <s v="Cooking Essentials"/>
    <n v="8500"/>
    <n v="153000"/>
    <s v="Low"/>
  </r>
  <r>
    <s v="ORD1039"/>
    <d v="2026-02-10T00:00:00"/>
    <s v="Sadiq Bello"/>
    <s v="Ibadan"/>
    <s v="P008"/>
    <n v="11"/>
    <s v="New"/>
    <s v="Cash"/>
    <s v="Instant Noodles (Carton)"/>
    <s v="Packaged Foods"/>
    <n v="12500"/>
    <n v="137500"/>
    <s v="Low"/>
  </r>
  <r>
    <s v="ORD1040"/>
    <d v="2026-01-12T00:00:00"/>
    <s v="Adaeze Obi"/>
    <s v="Kano"/>
    <s v="P001"/>
    <n v="5"/>
    <s v="Returning"/>
    <s v="Transfer"/>
    <s v="Rice (50kg bag)"/>
    <s v="Grains"/>
    <n v="68000"/>
    <n v="340000"/>
    <s v="Excellent"/>
  </r>
  <r>
    <s v="ORD1041"/>
    <d v="2026-03-13T00:00:00"/>
    <s v="Chinwe Eze"/>
    <s v="Lagos"/>
    <s v="P009"/>
    <n v="7"/>
    <s v="Returning"/>
    <s v="Cash"/>
    <s v="Laundry Detergent (Carton)"/>
    <s v="Household"/>
    <n v="21000"/>
    <n v="147000"/>
    <s v="Low"/>
  </r>
  <r>
    <s v="ORD1042"/>
    <d v="2026-03-22T00:00:00"/>
    <s v="Tunde Bakare"/>
    <s v="Abuja"/>
    <s v="P007"/>
    <n v="9"/>
    <s v="Returning"/>
    <s v="Transfer"/>
    <s v="Table Salt (Carton)"/>
    <s v="Cooking Essentials"/>
    <n v="8500"/>
    <n v="76500"/>
    <s v="Excellent"/>
  </r>
  <r>
    <s v="ORD1043"/>
    <d v="2026-02-05T00:00:00"/>
    <s v="Adaeze Obi"/>
    <s v="Ibadan"/>
    <s v="P002"/>
    <n v="28"/>
    <s v="Returning"/>
    <s v="Transfer"/>
    <s v="Beans (50kg bag)"/>
    <s v="Grains"/>
    <n v="62000"/>
    <n v="1736000"/>
    <s v="High"/>
  </r>
  <r>
    <s v="ORD1044"/>
    <d v="2026-03-12T00:00:00"/>
    <s v="Ngozi Umeh"/>
    <s v="Kano"/>
    <s v="P004"/>
    <n v="44"/>
    <s v="Returning"/>
    <s v="Cash"/>
    <s v="Granulated Sugar (50kg)"/>
    <s v="Cooking Essentials"/>
    <n v="58000"/>
    <n v="2552000"/>
    <s v="Excellent"/>
  </r>
  <r>
    <s v="ORD1045"/>
    <d v="2026-02-07T00:00:00"/>
    <s v="Sadiq Bello"/>
    <s v="Abuja"/>
    <s v="P005"/>
    <n v="31"/>
    <s v="New"/>
    <s v="Cash"/>
    <s v="Powdered Milk (Carton)"/>
    <s v="Dairy"/>
    <n v="32000"/>
    <n v="992000"/>
    <s v="High"/>
  </r>
  <r>
    <s v="ORD1046"/>
    <d v="2026-01-06T00:00:00"/>
    <s v="Kemi Adisa"/>
    <s v="Ibadan"/>
    <s v="P010"/>
    <n v="8"/>
    <s v="New"/>
    <s v="Cash"/>
    <s v="Bathing Soap (Carton)"/>
    <s v="Household"/>
    <n v="15500"/>
    <n v="124000"/>
    <s v="High"/>
  </r>
  <r>
    <s v="ORD1047"/>
    <d v="2026-03-10T00:00:00"/>
    <s v="Femi Alabi"/>
    <s v="Abuja"/>
    <s v="P006"/>
    <n v="58"/>
    <s v="New"/>
    <s v="Cash"/>
    <s v="Wheat Flour (50kg)"/>
    <s v="Grains"/>
    <n v="41000"/>
    <n v="2378000"/>
    <s v="Excellent"/>
  </r>
  <r>
    <s v="ORD1048"/>
    <d v="2026-02-21T00:00:00"/>
    <s v="Femi Alabi"/>
    <s v="Abuja"/>
    <s v="P008"/>
    <n v="55"/>
    <s v="Returning"/>
    <s v="Card"/>
    <s v="Instant Noodles (Carton)"/>
    <s v="Packaged Foods"/>
    <n v="12500"/>
    <n v="687500"/>
    <s v="Medium"/>
  </r>
  <r>
    <s v="ORD1049"/>
    <d v="2026-03-24T00:00:00"/>
    <s v="Adaeze Obi"/>
    <s v="Ibadan"/>
    <s v="P005"/>
    <n v="44"/>
    <s v="New"/>
    <s v="Cash"/>
    <s v="Powdered Milk (Carton)"/>
    <s v="Dairy"/>
    <n v="32000"/>
    <n v="1408000"/>
    <s v="Low"/>
  </r>
  <r>
    <s v="ORD1050"/>
    <d v="2026-02-07T00:00:00"/>
    <s v="Tunde Bakare"/>
    <s v="Lagos"/>
    <s v="P009"/>
    <n v="11"/>
    <s v="New"/>
    <s v="Transfer"/>
    <s v="Laundry Detergent (Carton)"/>
    <s v="Household"/>
    <n v="21000"/>
    <n v="231000"/>
    <s v="Low"/>
  </r>
  <r>
    <s v="ORD1051"/>
    <d v="2026-01-31T00:00:00"/>
    <s v="Ngozi Umeh"/>
    <s v="Abuja"/>
    <s v="P005"/>
    <n v="34"/>
    <s v="Returning"/>
    <s v="Cash"/>
    <s v="Powdered Milk (Carton)"/>
    <s v="Dairy"/>
    <n v="32000"/>
    <n v="1088000"/>
    <s v="High"/>
  </r>
  <r>
    <s v="ORD1052"/>
    <d v="2026-01-16T00:00:00"/>
    <s v="Sadiq Bello"/>
    <s v="Kano"/>
    <s v="P001"/>
    <n v="2"/>
    <s v="New"/>
    <s v="Cash"/>
    <s v="Rice (50kg bag)"/>
    <s v="Grains"/>
    <n v="68000"/>
    <n v="136000"/>
    <s v="Medium"/>
  </r>
  <r>
    <s v="ORD1053"/>
    <d v="2026-03-27T00:00:00"/>
    <s v="Femi Alabi"/>
    <s v="Abuja"/>
    <s v="P008"/>
    <n v="37"/>
    <s v="Returning"/>
    <s v="Transfer"/>
    <s v="Instant Noodles (Carton)"/>
    <s v="Packaged Foods"/>
    <n v="12500"/>
    <n v="462500"/>
    <s v="Low"/>
  </r>
  <r>
    <s v="ORD1054"/>
    <d v="2026-01-06T00:00:00"/>
    <s v="Tunde Bakare"/>
    <s v="Lagos"/>
    <s v="P003"/>
    <n v="36"/>
    <s v="New"/>
    <s v="Card"/>
    <s v="Vegetable Oil (25L)"/>
    <s v="Cooking Essentials"/>
    <n v="45000"/>
    <n v="1620000"/>
    <s v="Excellent"/>
  </r>
  <r>
    <s v="ORD1055"/>
    <d v="2026-03-20T00:00:00"/>
    <s v="Chinwe Eze"/>
    <s v="Port Harcourt"/>
    <s v="P003"/>
    <n v="4"/>
    <s v="New"/>
    <s v="Cash"/>
    <s v="Vegetable Oil (25L)"/>
    <s v="Cooking Essentials"/>
    <n v="45000"/>
    <n v="180000"/>
    <s v="Excellent"/>
  </r>
  <r>
    <s v="ORD1056"/>
    <d v="2026-02-19T00:00:00"/>
    <s v="Ibrahim Musa"/>
    <s v="Abuja"/>
    <s v="P002"/>
    <n v="24"/>
    <s v="Returning"/>
    <s v="Card"/>
    <s v="Beans (50kg bag)"/>
    <s v="Grains"/>
    <n v="62000"/>
    <n v="1488000"/>
    <s v="Excellent"/>
  </r>
  <r>
    <s v="ORD1057"/>
    <d v="2026-03-25T00:00:00"/>
    <s v="Chinwe Eze"/>
    <s v="Abuja"/>
    <s v="P003"/>
    <n v="53"/>
    <s v="Returning"/>
    <s v="Card"/>
    <s v="Vegetable Oil (25L)"/>
    <s v="Cooking Essentials"/>
    <n v="45000"/>
    <n v="2385000"/>
    <s v="Medium"/>
  </r>
  <r>
    <s v="ORD1058"/>
    <d v="2026-01-08T00:00:00"/>
    <s v="Chinwe Eze"/>
    <s v="Kano"/>
    <s v="P007"/>
    <n v="53"/>
    <s v="Returning"/>
    <s v="Transfer"/>
    <s v="Table Salt (Carton)"/>
    <s v="Cooking Essentials"/>
    <n v="8500"/>
    <n v="450500"/>
    <s v="Low"/>
  </r>
  <r>
    <s v="ORD1059"/>
    <d v="2026-02-05T00:00:00"/>
    <s v="Femi Alabi"/>
    <s v="Abuja"/>
    <s v="P002"/>
    <n v="26"/>
    <s v="Returning"/>
    <s v="Card"/>
    <s v="Beans (50kg bag)"/>
    <s v="Grains"/>
    <n v="62000"/>
    <n v="1612000"/>
    <s v="Low"/>
  </r>
</pivotCacheRecords>
</file>

<file path=xl/pivotCache/pivotCacheRecords2.xml><?xml version="1.0" encoding="utf-8"?>
<pivotCacheRecords xmlns="http://schemas.openxmlformats.org/spreadsheetml/2006/main" xmlns:r="http://schemas.openxmlformats.org/officeDocument/2006/relationships" count="60">
  <r>
    <x v="0"/>
    <x v="0"/>
    <x v="0"/>
    <x v="0"/>
    <s v="P005"/>
    <n v="17"/>
    <s v="New"/>
    <s v="Transfer"/>
    <x v="0"/>
    <x v="0"/>
    <n v="32000"/>
    <x v="0"/>
    <s v="Medium"/>
  </r>
  <r>
    <x v="1"/>
    <x v="1"/>
    <x v="0"/>
    <x v="1"/>
    <s v="P007"/>
    <n v="4"/>
    <s v="New"/>
    <s v="Cash"/>
    <x v="1"/>
    <x v="1"/>
    <n v="8500"/>
    <x v="1"/>
    <s v="Low"/>
  </r>
  <r>
    <x v="2"/>
    <x v="2"/>
    <x v="1"/>
    <x v="1"/>
    <s v="P004"/>
    <n v="47"/>
    <s v="Returning"/>
    <s v="Transfer"/>
    <x v="2"/>
    <x v="1"/>
    <n v="58000"/>
    <x v="2"/>
    <s v="Excellent"/>
  </r>
  <r>
    <x v="3"/>
    <x v="3"/>
    <x v="2"/>
    <x v="2"/>
    <s v="P010"/>
    <n v="19"/>
    <s v="Returning"/>
    <s v="Cash"/>
    <x v="3"/>
    <x v="2"/>
    <n v="15500"/>
    <x v="3"/>
    <s v="Low"/>
  </r>
  <r>
    <x v="4"/>
    <x v="4"/>
    <x v="3"/>
    <x v="3"/>
    <s v="P005"/>
    <n v="11"/>
    <s v="New"/>
    <s v="Card"/>
    <x v="0"/>
    <x v="0"/>
    <n v="32000"/>
    <x v="4"/>
    <s v="Low"/>
  </r>
  <r>
    <x v="5"/>
    <x v="1"/>
    <x v="0"/>
    <x v="2"/>
    <s v="P002"/>
    <n v="24"/>
    <s v="Returning"/>
    <s v="Transfer"/>
    <x v="4"/>
    <x v="3"/>
    <n v="62000"/>
    <x v="5"/>
    <s v="High"/>
  </r>
  <r>
    <x v="6"/>
    <x v="5"/>
    <x v="1"/>
    <x v="2"/>
    <s v="P009"/>
    <n v="9"/>
    <s v="Returning"/>
    <s v="Card"/>
    <x v="5"/>
    <x v="2"/>
    <n v="21000"/>
    <x v="6"/>
    <s v="Low"/>
  </r>
  <r>
    <x v="7"/>
    <x v="6"/>
    <x v="4"/>
    <x v="1"/>
    <s v="P006"/>
    <n v="38"/>
    <s v="New"/>
    <s v="Cash"/>
    <x v="6"/>
    <x v="3"/>
    <n v="41000"/>
    <x v="7"/>
    <s v="High"/>
  </r>
  <r>
    <x v="8"/>
    <x v="7"/>
    <x v="2"/>
    <x v="3"/>
    <s v="P002"/>
    <n v="56"/>
    <s v="New"/>
    <s v="Cash"/>
    <x v="4"/>
    <x v="3"/>
    <n v="62000"/>
    <x v="8"/>
    <s v="Excellent"/>
  </r>
  <r>
    <x v="9"/>
    <x v="8"/>
    <x v="4"/>
    <x v="2"/>
    <s v="P006"/>
    <n v="12"/>
    <s v="New"/>
    <s v="Cash"/>
    <x v="6"/>
    <x v="3"/>
    <n v="41000"/>
    <x v="9"/>
    <s v="Low"/>
  </r>
  <r>
    <x v="10"/>
    <x v="9"/>
    <x v="0"/>
    <x v="1"/>
    <s v="P003"/>
    <n v="36"/>
    <s v="Returning"/>
    <s v="Cash"/>
    <x v="7"/>
    <x v="1"/>
    <n v="45000"/>
    <x v="10"/>
    <s v="High"/>
  </r>
  <r>
    <x v="11"/>
    <x v="10"/>
    <x v="3"/>
    <x v="3"/>
    <s v="P009"/>
    <n v="16"/>
    <s v="Returning"/>
    <s v="Cash"/>
    <x v="5"/>
    <x v="2"/>
    <n v="21000"/>
    <x v="11"/>
    <s v="Low"/>
  </r>
  <r>
    <x v="12"/>
    <x v="2"/>
    <x v="1"/>
    <x v="3"/>
    <s v="P007"/>
    <n v="19"/>
    <s v="New"/>
    <s v="Transfer"/>
    <x v="1"/>
    <x v="1"/>
    <n v="8500"/>
    <x v="12"/>
    <s v="Low"/>
  </r>
  <r>
    <x v="13"/>
    <x v="11"/>
    <x v="2"/>
    <x v="2"/>
    <s v="P007"/>
    <n v="58"/>
    <s v="Returning"/>
    <s v="Card"/>
    <x v="1"/>
    <x v="1"/>
    <n v="8500"/>
    <x v="13"/>
    <s v="Low"/>
  </r>
  <r>
    <x v="14"/>
    <x v="12"/>
    <x v="4"/>
    <x v="4"/>
    <s v="P004"/>
    <n v="49"/>
    <s v="Returning"/>
    <s v="Card"/>
    <x v="2"/>
    <x v="1"/>
    <n v="58000"/>
    <x v="14"/>
    <s v="Excellent"/>
  </r>
  <r>
    <x v="15"/>
    <x v="13"/>
    <x v="3"/>
    <x v="1"/>
    <s v="P007"/>
    <n v="25"/>
    <s v="New"/>
    <s v="Cash"/>
    <x v="1"/>
    <x v="1"/>
    <n v="8500"/>
    <x v="15"/>
    <s v="Low"/>
  </r>
  <r>
    <x v="16"/>
    <x v="14"/>
    <x v="5"/>
    <x v="0"/>
    <s v="P001"/>
    <n v="57"/>
    <s v="New"/>
    <s v="Transfer"/>
    <x v="8"/>
    <x v="3"/>
    <n v="68000"/>
    <x v="16"/>
    <s v="Excellent"/>
  </r>
  <r>
    <x v="17"/>
    <x v="4"/>
    <x v="3"/>
    <x v="1"/>
    <s v="P002"/>
    <n v="26"/>
    <s v="New"/>
    <s v="Card"/>
    <x v="4"/>
    <x v="3"/>
    <n v="62000"/>
    <x v="17"/>
    <s v="High"/>
  </r>
  <r>
    <x v="18"/>
    <x v="15"/>
    <x v="4"/>
    <x v="1"/>
    <s v="P001"/>
    <n v="45"/>
    <s v="Returning"/>
    <s v="Transfer"/>
    <x v="8"/>
    <x v="3"/>
    <n v="68000"/>
    <x v="18"/>
    <s v="Excellent"/>
  </r>
  <r>
    <x v="19"/>
    <x v="16"/>
    <x v="4"/>
    <x v="3"/>
    <s v="P002"/>
    <n v="20"/>
    <s v="New"/>
    <s v="Card"/>
    <x v="4"/>
    <x v="3"/>
    <n v="62000"/>
    <x v="19"/>
    <s v="High"/>
  </r>
  <r>
    <x v="20"/>
    <x v="17"/>
    <x v="4"/>
    <x v="1"/>
    <s v="P003"/>
    <n v="34"/>
    <s v="Returning"/>
    <s v="Transfer"/>
    <x v="7"/>
    <x v="1"/>
    <n v="45000"/>
    <x v="20"/>
    <s v="High"/>
  </r>
  <r>
    <x v="21"/>
    <x v="18"/>
    <x v="2"/>
    <x v="4"/>
    <s v="P006"/>
    <n v="50"/>
    <s v="New"/>
    <s v="Transfer"/>
    <x v="6"/>
    <x v="3"/>
    <n v="41000"/>
    <x v="21"/>
    <s v="Excellent"/>
  </r>
  <r>
    <x v="22"/>
    <x v="17"/>
    <x v="6"/>
    <x v="2"/>
    <s v="P001"/>
    <n v="9"/>
    <s v="Returning"/>
    <s v="Card"/>
    <x v="8"/>
    <x v="3"/>
    <n v="68000"/>
    <x v="22"/>
    <s v="Medium"/>
  </r>
  <r>
    <x v="23"/>
    <x v="19"/>
    <x v="1"/>
    <x v="4"/>
    <s v="P010"/>
    <n v="7"/>
    <s v="New"/>
    <s v="Card"/>
    <x v="3"/>
    <x v="2"/>
    <n v="15500"/>
    <x v="23"/>
    <s v="Low"/>
  </r>
  <r>
    <x v="24"/>
    <x v="20"/>
    <x v="7"/>
    <x v="4"/>
    <s v="P008"/>
    <n v="37"/>
    <s v="New"/>
    <s v="Transfer"/>
    <x v="9"/>
    <x v="4"/>
    <n v="12500"/>
    <x v="24"/>
    <s v="Low"/>
  </r>
  <r>
    <x v="25"/>
    <x v="21"/>
    <x v="3"/>
    <x v="4"/>
    <s v="P009"/>
    <n v="50"/>
    <s v="Returning"/>
    <s v="Cash"/>
    <x v="5"/>
    <x v="2"/>
    <n v="21000"/>
    <x v="25"/>
    <s v="High"/>
  </r>
  <r>
    <x v="26"/>
    <x v="22"/>
    <x v="3"/>
    <x v="3"/>
    <s v="P008"/>
    <n v="59"/>
    <s v="Returning"/>
    <s v="Cash"/>
    <x v="9"/>
    <x v="4"/>
    <n v="12500"/>
    <x v="26"/>
    <s v="Medium"/>
  </r>
  <r>
    <x v="27"/>
    <x v="23"/>
    <x v="2"/>
    <x v="0"/>
    <s v="P006"/>
    <n v="3"/>
    <s v="Returning"/>
    <s v="Cash"/>
    <x v="6"/>
    <x v="3"/>
    <n v="41000"/>
    <x v="27"/>
    <s v="Low"/>
  </r>
  <r>
    <x v="28"/>
    <x v="24"/>
    <x v="2"/>
    <x v="0"/>
    <s v="P002"/>
    <n v="47"/>
    <s v="Returning"/>
    <s v="Cash"/>
    <x v="4"/>
    <x v="3"/>
    <n v="62000"/>
    <x v="28"/>
    <s v="Excellent"/>
  </r>
  <r>
    <x v="29"/>
    <x v="20"/>
    <x v="1"/>
    <x v="3"/>
    <s v="P002"/>
    <n v="34"/>
    <s v="New"/>
    <s v="Transfer"/>
    <x v="4"/>
    <x v="3"/>
    <n v="62000"/>
    <x v="29"/>
    <s v="Low"/>
  </r>
  <r>
    <x v="30"/>
    <x v="25"/>
    <x v="2"/>
    <x v="1"/>
    <s v="P003"/>
    <n v="48"/>
    <s v="Returning"/>
    <s v="Transfer"/>
    <x v="7"/>
    <x v="1"/>
    <n v="45000"/>
    <x v="30"/>
    <s v="Low"/>
  </r>
  <r>
    <x v="31"/>
    <x v="26"/>
    <x v="5"/>
    <x v="4"/>
    <s v="P008"/>
    <n v="53"/>
    <s v="New"/>
    <s v="Cash"/>
    <x v="9"/>
    <x v="4"/>
    <n v="12500"/>
    <x v="31"/>
    <s v="High"/>
  </r>
  <r>
    <x v="32"/>
    <x v="27"/>
    <x v="3"/>
    <x v="3"/>
    <s v="P007"/>
    <n v="28"/>
    <s v="Returning"/>
    <s v="Transfer"/>
    <x v="1"/>
    <x v="1"/>
    <n v="8500"/>
    <x v="32"/>
    <s v="Low"/>
  </r>
  <r>
    <x v="33"/>
    <x v="28"/>
    <x v="0"/>
    <x v="0"/>
    <s v="P007"/>
    <n v="48"/>
    <s v="New"/>
    <s v="Cash"/>
    <x v="1"/>
    <x v="1"/>
    <n v="8500"/>
    <x v="33"/>
    <s v="High"/>
  </r>
  <r>
    <x v="34"/>
    <x v="23"/>
    <x v="2"/>
    <x v="4"/>
    <s v="P009"/>
    <n v="30"/>
    <s v="New"/>
    <s v="Cash"/>
    <x v="5"/>
    <x v="2"/>
    <n v="21000"/>
    <x v="34"/>
    <s v="Excellent"/>
  </r>
  <r>
    <x v="35"/>
    <x v="29"/>
    <x v="5"/>
    <x v="4"/>
    <s v="P002"/>
    <n v="30"/>
    <s v="Returning"/>
    <s v="Transfer"/>
    <x v="4"/>
    <x v="3"/>
    <n v="62000"/>
    <x v="35"/>
    <s v="Low"/>
  </r>
  <r>
    <x v="36"/>
    <x v="27"/>
    <x v="1"/>
    <x v="1"/>
    <s v="P001"/>
    <n v="7"/>
    <s v="Returning"/>
    <s v="Cash"/>
    <x v="8"/>
    <x v="3"/>
    <n v="68000"/>
    <x v="36"/>
    <s v="High"/>
  </r>
  <r>
    <x v="37"/>
    <x v="30"/>
    <x v="3"/>
    <x v="2"/>
    <s v="P008"/>
    <n v="15"/>
    <s v="Returning"/>
    <s v="Cash"/>
    <x v="9"/>
    <x v="4"/>
    <n v="12500"/>
    <x v="37"/>
    <s v="Low"/>
  </r>
  <r>
    <x v="38"/>
    <x v="30"/>
    <x v="3"/>
    <x v="0"/>
    <s v="P007"/>
    <n v="18"/>
    <s v="Returning"/>
    <s v="Card"/>
    <x v="1"/>
    <x v="1"/>
    <n v="8500"/>
    <x v="38"/>
    <s v="Low"/>
  </r>
  <r>
    <x v="39"/>
    <x v="31"/>
    <x v="3"/>
    <x v="1"/>
    <s v="P008"/>
    <n v="11"/>
    <s v="New"/>
    <s v="Cash"/>
    <x v="9"/>
    <x v="4"/>
    <n v="12500"/>
    <x v="39"/>
    <s v="Low"/>
  </r>
  <r>
    <x v="40"/>
    <x v="32"/>
    <x v="1"/>
    <x v="3"/>
    <s v="P001"/>
    <n v="5"/>
    <s v="Returning"/>
    <s v="Transfer"/>
    <x v="8"/>
    <x v="3"/>
    <n v="68000"/>
    <x v="40"/>
    <s v="Excellent"/>
  </r>
  <r>
    <x v="41"/>
    <x v="15"/>
    <x v="7"/>
    <x v="0"/>
    <s v="P009"/>
    <n v="7"/>
    <s v="Returning"/>
    <s v="Cash"/>
    <x v="5"/>
    <x v="2"/>
    <n v="21000"/>
    <x v="41"/>
    <s v="Low"/>
  </r>
  <r>
    <x v="42"/>
    <x v="33"/>
    <x v="0"/>
    <x v="4"/>
    <s v="P007"/>
    <n v="9"/>
    <s v="Returning"/>
    <s v="Transfer"/>
    <x v="1"/>
    <x v="1"/>
    <n v="8500"/>
    <x v="42"/>
    <s v="Excellent"/>
  </r>
  <r>
    <x v="43"/>
    <x v="23"/>
    <x v="1"/>
    <x v="1"/>
    <s v="P002"/>
    <n v="28"/>
    <s v="Returning"/>
    <s v="Transfer"/>
    <x v="4"/>
    <x v="3"/>
    <n v="62000"/>
    <x v="43"/>
    <s v="High"/>
  </r>
  <r>
    <x v="44"/>
    <x v="34"/>
    <x v="6"/>
    <x v="3"/>
    <s v="P004"/>
    <n v="44"/>
    <s v="Returning"/>
    <s v="Cash"/>
    <x v="2"/>
    <x v="1"/>
    <n v="58000"/>
    <x v="44"/>
    <s v="Excellent"/>
  </r>
  <r>
    <x v="45"/>
    <x v="5"/>
    <x v="3"/>
    <x v="4"/>
    <s v="P005"/>
    <n v="31"/>
    <s v="New"/>
    <s v="Cash"/>
    <x v="0"/>
    <x v="0"/>
    <n v="32000"/>
    <x v="45"/>
    <s v="High"/>
  </r>
  <r>
    <x v="46"/>
    <x v="35"/>
    <x v="5"/>
    <x v="1"/>
    <s v="P010"/>
    <n v="8"/>
    <s v="New"/>
    <s v="Cash"/>
    <x v="3"/>
    <x v="2"/>
    <n v="15500"/>
    <x v="46"/>
    <s v="High"/>
  </r>
  <r>
    <x v="47"/>
    <x v="36"/>
    <x v="4"/>
    <x v="4"/>
    <s v="P006"/>
    <n v="58"/>
    <s v="New"/>
    <s v="Cash"/>
    <x v="6"/>
    <x v="3"/>
    <n v="41000"/>
    <x v="47"/>
    <s v="Excellent"/>
  </r>
  <r>
    <x v="48"/>
    <x v="37"/>
    <x v="4"/>
    <x v="4"/>
    <s v="P008"/>
    <n v="55"/>
    <s v="Returning"/>
    <s v="Card"/>
    <x v="9"/>
    <x v="4"/>
    <n v="12500"/>
    <x v="48"/>
    <s v="Medium"/>
  </r>
  <r>
    <x v="49"/>
    <x v="38"/>
    <x v="1"/>
    <x v="1"/>
    <s v="P005"/>
    <n v="44"/>
    <s v="New"/>
    <s v="Cash"/>
    <x v="0"/>
    <x v="0"/>
    <n v="32000"/>
    <x v="49"/>
    <s v="Low"/>
  </r>
  <r>
    <x v="50"/>
    <x v="5"/>
    <x v="0"/>
    <x v="0"/>
    <s v="P009"/>
    <n v="11"/>
    <s v="New"/>
    <s v="Transfer"/>
    <x v="5"/>
    <x v="2"/>
    <n v="21000"/>
    <x v="50"/>
    <s v="Low"/>
  </r>
  <r>
    <x v="51"/>
    <x v="39"/>
    <x v="6"/>
    <x v="4"/>
    <s v="P005"/>
    <n v="34"/>
    <s v="Returning"/>
    <s v="Cash"/>
    <x v="0"/>
    <x v="0"/>
    <n v="32000"/>
    <x v="51"/>
    <s v="High"/>
  </r>
  <r>
    <x v="52"/>
    <x v="40"/>
    <x v="3"/>
    <x v="3"/>
    <s v="P001"/>
    <n v="2"/>
    <s v="New"/>
    <s v="Cash"/>
    <x v="8"/>
    <x v="3"/>
    <n v="68000"/>
    <x v="52"/>
    <s v="Medium"/>
  </r>
  <r>
    <x v="53"/>
    <x v="0"/>
    <x v="4"/>
    <x v="4"/>
    <s v="P008"/>
    <n v="37"/>
    <s v="Returning"/>
    <s v="Transfer"/>
    <x v="9"/>
    <x v="4"/>
    <n v="12500"/>
    <x v="24"/>
    <s v="Low"/>
  </r>
  <r>
    <x v="54"/>
    <x v="35"/>
    <x v="0"/>
    <x v="0"/>
    <s v="P003"/>
    <n v="36"/>
    <s v="New"/>
    <s v="Card"/>
    <x v="7"/>
    <x v="1"/>
    <n v="45000"/>
    <x v="10"/>
    <s v="Excellent"/>
  </r>
  <r>
    <x v="55"/>
    <x v="13"/>
    <x v="7"/>
    <x v="2"/>
    <s v="P003"/>
    <n v="4"/>
    <s v="New"/>
    <s v="Cash"/>
    <x v="7"/>
    <x v="1"/>
    <n v="45000"/>
    <x v="53"/>
    <s v="Excellent"/>
  </r>
  <r>
    <x v="56"/>
    <x v="41"/>
    <x v="2"/>
    <x v="4"/>
    <s v="P002"/>
    <n v="24"/>
    <s v="Returning"/>
    <s v="Card"/>
    <x v="4"/>
    <x v="3"/>
    <n v="62000"/>
    <x v="5"/>
    <s v="Excellent"/>
  </r>
  <r>
    <x v="57"/>
    <x v="42"/>
    <x v="7"/>
    <x v="4"/>
    <s v="P003"/>
    <n v="53"/>
    <s v="Returning"/>
    <s v="Card"/>
    <x v="7"/>
    <x v="1"/>
    <n v="45000"/>
    <x v="54"/>
    <s v="Medium"/>
  </r>
  <r>
    <x v="58"/>
    <x v="43"/>
    <x v="7"/>
    <x v="3"/>
    <s v="P007"/>
    <n v="53"/>
    <s v="Returning"/>
    <s v="Transfer"/>
    <x v="1"/>
    <x v="1"/>
    <n v="8500"/>
    <x v="55"/>
    <s v="Low"/>
  </r>
  <r>
    <x v="59"/>
    <x v="23"/>
    <x v="4"/>
    <x v="4"/>
    <s v="P002"/>
    <n v="26"/>
    <s v="Returning"/>
    <s v="Card"/>
    <x v="4"/>
    <x v="3"/>
    <n v="62000"/>
    <x v="1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H13:I19"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showAll="0"/>
    <pivotField showAll="0"/>
    <pivotField showAll="0"/>
    <pivotField showAll="0"/>
    <pivotField showAll="0"/>
    <pivotField showAll="0"/>
    <pivotField showAll="0">
      <items count="11">
        <item x="3"/>
        <item x="4"/>
        <item x="2"/>
        <item x="9"/>
        <item x="5"/>
        <item x="0"/>
        <item x="8"/>
        <item x="1"/>
        <item x="7"/>
        <item x="6"/>
        <item t="default"/>
      </items>
    </pivotField>
    <pivotField axis="axisRow" showAll="0">
      <items count="6">
        <item x="1"/>
        <item x="0"/>
        <item x="3"/>
        <item x="2"/>
        <item x="4"/>
        <item t="default"/>
      </items>
    </pivotField>
    <pivotField showAll="0"/>
    <pivotField dataField="1" showAll="0">
      <items count="57">
        <item x="1"/>
        <item x="42"/>
        <item x="23"/>
        <item x="27"/>
        <item x="46"/>
        <item x="52"/>
        <item x="39"/>
        <item x="41"/>
        <item x="38"/>
        <item x="12"/>
        <item x="53"/>
        <item x="37"/>
        <item x="6"/>
        <item x="15"/>
        <item x="50"/>
        <item x="32"/>
        <item x="3"/>
        <item x="11"/>
        <item x="40"/>
        <item x="4"/>
        <item x="33"/>
        <item x="55"/>
        <item x="24"/>
        <item x="36"/>
        <item x="9"/>
        <item x="13"/>
        <item x="0"/>
        <item x="22"/>
        <item x="34"/>
        <item x="31"/>
        <item x="48"/>
        <item x="26"/>
        <item x="45"/>
        <item x="25"/>
        <item x="51"/>
        <item x="19"/>
        <item x="49"/>
        <item x="5"/>
        <item x="20"/>
        <item x="7"/>
        <item x="17"/>
        <item x="10"/>
        <item x="43"/>
        <item x="35"/>
        <item x="21"/>
        <item x="29"/>
        <item x="30"/>
        <item x="47"/>
        <item x="54"/>
        <item x="44"/>
        <item x="2"/>
        <item x="14"/>
        <item x="28"/>
        <item x="18"/>
        <item x="8"/>
        <item x="16"/>
        <item t="default"/>
      </items>
    </pivotField>
    <pivotField showAll="0"/>
  </pivotFields>
  <rowFields count="1">
    <field x="9"/>
  </rowFields>
  <rowItems count="6">
    <i>
      <x/>
    </i>
    <i>
      <x v="1"/>
    </i>
    <i>
      <x v="2"/>
    </i>
    <i>
      <x v="3"/>
    </i>
    <i>
      <x v="4"/>
    </i>
    <i t="grand">
      <x/>
    </i>
  </rowItems>
  <colItems count="1">
    <i/>
  </colItems>
  <dataFields count="1">
    <dataField name="Sum of Total Sales (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D9:E54"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66" showAll="0">
      <items count="45">
        <item x="17"/>
        <item x="35"/>
        <item x="43"/>
        <item x="7"/>
        <item x="28"/>
        <item x="32"/>
        <item x="20"/>
        <item x="6"/>
        <item x="40"/>
        <item x="27"/>
        <item x="1"/>
        <item x="12"/>
        <item x="4"/>
        <item x="30"/>
        <item x="39"/>
        <item x="2"/>
        <item x="19"/>
        <item x="23"/>
        <item x="5"/>
        <item x="9"/>
        <item x="29"/>
        <item x="31"/>
        <item x="18"/>
        <item x="22"/>
        <item x="11"/>
        <item x="41"/>
        <item x="37"/>
        <item x="8"/>
        <item x="3"/>
        <item x="10"/>
        <item x="25"/>
        <item x="36"/>
        <item x="14"/>
        <item x="34"/>
        <item x="15"/>
        <item x="16"/>
        <item x="26"/>
        <item x="13"/>
        <item x="24"/>
        <item x="33"/>
        <item x="21"/>
        <item x="38"/>
        <item x="42"/>
        <item x="0"/>
        <item t="default"/>
      </items>
    </pivotField>
    <pivotField showAll="0"/>
    <pivotField showAll="0"/>
    <pivotField showAll="0"/>
    <pivotField showAll="0"/>
    <pivotField showAll="0"/>
    <pivotField showAll="0"/>
    <pivotField showAll="0"/>
    <pivotField showAll="0"/>
    <pivotField showAll="0"/>
    <pivotField dataField="1" showAll="0">
      <items count="57">
        <item x="1"/>
        <item x="42"/>
        <item x="23"/>
        <item x="27"/>
        <item x="46"/>
        <item x="52"/>
        <item x="39"/>
        <item x="41"/>
        <item x="38"/>
        <item x="12"/>
        <item x="53"/>
        <item x="37"/>
        <item x="6"/>
        <item x="15"/>
        <item x="50"/>
        <item x="32"/>
        <item x="3"/>
        <item x="11"/>
        <item x="40"/>
        <item x="4"/>
        <item x="33"/>
        <item x="55"/>
        <item x="24"/>
        <item x="36"/>
        <item x="9"/>
        <item x="13"/>
        <item x="0"/>
        <item x="22"/>
        <item x="34"/>
        <item x="31"/>
        <item x="48"/>
        <item x="26"/>
        <item x="45"/>
        <item x="25"/>
        <item x="51"/>
        <item x="19"/>
        <item x="49"/>
        <item x="5"/>
        <item x="20"/>
        <item x="7"/>
        <item x="17"/>
        <item x="10"/>
        <item x="43"/>
        <item x="35"/>
        <item x="21"/>
        <item x="29"/>
        <item x="30"/>
        <item x="47"/>
        <item x="54"/>
        <item x="44"/>
        <item x="2"/>
        <item x="14"/>
        <item x="28"/>
        <item x="18"/>
        <item x="8"/>
        <item x="16"/>
        <item t="default"/>
      </items>
    </pivotField>
    <pivotField showAll="0"/>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Sum of Total Sales (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L4:M13"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axis="axisRow" showAll="0" sortType="descending">
      <items count="9">
        <item x="0"/>
        <item x="3"/>
        <item x="6"/>
        <item x="5"/>
        <item x="2"/>
        <item x="4"/>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items count="57">
        <item x="1"/>
        <item x="42"/>
        <item x="23"/>
        <item x="27"/>
        <item x="46"/>
        <item x="52"/>
        <item x="39"/>
        <item x="41"/>
        <item x="38"/>
        <item x="12"/>
        <item x="53"/>
        <item x="37"/>
        <item x="6"/>
        <item x="15"/>
        <item x="50"/>
        <item x="32"/>
        <item x="3"/>
        <item x="11"/>
        <item x="40"/>
        <item x="4"/>
        <item x="33"/>
        <item x="55"/>
        <item x="24"/>
        <item x="36"/>
        <item x="9"/>
        <item x="13"/>
        <item x="0"/>
        <item x="22"/>
        <item x="34"/>
        <item x="31"/>
        <item x="48"/>
        <item x="26"/>
        <item x="45"/>
        <item x="25"/>
        <item x="51"/>
        <item x="19"/>
        <item x="49"/>
        <item x="5"/>
        <item x="20"/>
        <item x="7"/>
        <item x="17"/>
        <item x="10"/>
        <item x="43"/>
        <item x="35"/>
        <item x="21"/>
        <item x="29"/>
        <item x="30"/>
        <item x="47"/>
        <item x="54"/>
        <item x="44"/>
        <item x="2"/>
        <item x="14"/>
        <item x="28"/>
        <item x="18"/>
        <item x="8"/>
        <item x="16"/>
        <item t="default"/>
      </items>
    </pivotField>
    <pivotField showAll="0"/>
  </pivotFields>
  <rowFields count="1">
    <field x="2"/>
  </rowFields>
  <rowItems count="9">
    <i>
      <x v="5"/>
    </i>
    <i>
      <x v="4"/>
    </i>
    <i>
      <x v="7"/>
    </i>
    <i>
      <x v="3"/>
    </i>
    <i>
      <x v="1"/>
    </i>
    <i>
      <x/>
    </i>
    <i>
      <x v="2"/>
    </i>
    <i>
      <x v="6"/>
    </i>
    <i t="grand">
      <x/>
    </i>
  </rowItems>
  <colItems count="1">
    <i/>
  </colItems>
  <dataFields count="1">
    <dataField name="Sum of Total Sales (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D3:D4" firstHeaderRow="1" firstDataRow="1" firstDataCol="0"/>
  <pivotFields count="13">
    <pivotField dataField="1" showAll="0"/>
    <pivotField numFmtId="167" showAll="0"/>
    <pivotField showAll="0"/>
    <pivotField showAll="0"/>
    <pivotField showAll="0"/>
    <pivotField showAll="0"/>
    <pivotField showAll="0"/>
    <pivotField showAll="0"/>
    <pivotField showAll="0"/>
    <pivotField showAll="0"/>
    <pivotField showAll="0"/>
    <pivotField showAll="0"/>
    <pivotField showAll="0"/>
  </pivotFields>
  <dataFields count="1">
    <dataField name="Count of Order ID" fld="0" subtotal="count" baseField="0" baseItem="0"/>
  </dataFields>
  <formats count="3">
    <format dxfId="2">
      <pivotArea type="all" dataOnly="0" outline="0" fieldPosition="0"/>
    </format>
    <format dxfId="1">
      <pivotArea outline="0" collapsedLevelsAreSubtotals="1" fieldPosition="0"/>
    </format>
    <format dxfId="0">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A9:B15"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showAll="0"/>
    <pivotField axis="axisRow" showAll="0">
      <items count="6">
        <item x="4"/>
        <item x="1"/>
        <item x="3"/>
        <item x="0"/>
        <item x="2"/>
        <item t="default"/>
      </items>
    </pivotField>
    <pivotField showAll="0"/>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A3:A4" firstHeaderRow="1" firstDataRow="1" firstDataCol="0"/>
  <pivotFields count="13">
    <pivotField showAll="0"/>
    <pivotField numFmtId="167" showAll="0"/>
    <pivotField showAll="0"/>
    <pivotField showAll="0"/>
    <pivotField showAll="0"/>
    <pivotField showAll="0"/>
    <pivotField showAll="0"/>
    <pivotField showAll="0"/>
    <pivotField showAll="0"/>
    <pivotField showAll="0"/>
    <pivotField showAll="0"/>
    <pivotField dataField="1" showAll="0"/>
    <pivotField showAll="0"/>
  </pivotFields>
  <dataFields count="1">
    <dataField name="Sum of Total Sales (N)" fld="11" baseField="0" baseItem="0"/>
  </dataFields>
  <formats count="3">
    <format dxfId="5">
      <pivotArea type="all" dataOnly="0" outline="0" fieldPosition="0"/>
    </format>
    <format dxfId="4">
      <pivotArea outline="0" collapsedLevelsAreSubtotals="1" fieldPosition="0"/>
    </format>
    <format dxfId="3">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H3:I9"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showAll="0"/>
    <pivotField axis="axisRow" showAll="0">
      <items count="6">
        <item x="4"/>
        <item x="1"/>
        <item x="3"/>
        <item x="0"/>
        <item x="2"/>
        <item t="default"/>
      </items>
    </pivotField>
    <pivotField showAll="0"/>
    <pivotField showAll="0"/>
    <pivotField showAll="0"/>
    <pivotField showAll="0"/>
    <pivotField showAll="0"/>
    <pivotField showAll="0"/>
    <pivotField showAll="0"/>
    <pivotField dataField="1" showAll="0">
      <items count="57">
        <item x="1"/>
        <item x="42"/>
        <item x="23"/>
        <item x="27"/>
        <item x="46"/>
        <item x="52"/>
        <item x="39"/>
        <item x="41"/>
        <item x="38"/>
        <item x="12"/>
        <item x="53"/>
        <item x="37"/>
        <item x="6"/>
        <item x="15"/>
        <item x="50"/>
        <item x="32"/>
        <item x="3"/>
        <item x="11"/>
        <item x="40"/>
        <item x="4"/>
        <item x="33"/>
        <item x="55"/>
        <item x="24"/>
        <item x="36"/>
        <item x="9"/>
        <item x="13"/>
        <item x="0"/>
        <item x="22"/>
        <item x="34"/>
        <item x="31"/>
        <item x="48"/>
        <item x="26"/>
        <item x="45"/>
        <item x="25"/>
        <item x="51"/>
        <item x="19"/>
        <item x="49"/>
        <item x="5"/>
        <item x="20"/>
        <item x="7"/>
        <item x="17"/>
        <item x="10"/>
        <item x="43"/>
        <item x="35"/>
        <item x="21"/>
        <item x="29"/>
        <item x="30"/>
        <item x="47"/>
        <item x="54"/>
        <item x="44"/>
        <item x="2"/>
        <item x="14"/>
        <item x="28"/>
        <item x="18"/>
        <item x="8"/>
        <item x="16"/>
        <item t="default"/>
      </items>
    </pivotField>
    <pivotField showAll="0"/>
  </pivotFields>
  <rowFields count="1">
    <field x="3"/>
  </rowFields>
  <rowItems count="6">
    <i>
      <x/>
    </i>
    <i>
      <x v="1"/>
    </i>
    <i>
      <x v="2"/>
    </i>
    <i>
      <x v="3"/>
    </i>
    <i>
      <x v="4"/>
    </i>
    <i t="grand">
      <x/>
    </i>
  </rowItems>
  <colItems count="1">
    <i/>
  </colItems>
  <dataFields count="1">
    <dataField name="Sum of Total Sales (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A19:B30" firstHeaderRow="1" firstDataRow="1" firstDataCol="1"/>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showAll="0"/>
    <pivotField showAll="0"/>
    <pivotField showAll="0"/>
    <pivotField showAll="0"/>
    <pivotField showAll="0"/>
    <pivotField showAll="0"/>
    <pivotField axis="axisRow" showAll="0" sortType="descending">
      <items count="11">
        <item x="3"/>
        <item x="4"/>
        <item x="2"/>
        <item x="9"/>
        <item x="5"/>
        <item x="0"/>
        <item x="8"/>
        <item x="1"/>
        <item x="7"/>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7">
        <item x="1"/>
        <item x="42"/>
        <item x="23"/>
        <item x="27"/>
        <item x="46"/>
        <item x="52"/>
        <item x="39"/>
        <item x="41"/>
        <item x="38"/>
        <item x="12"/>
        <item x="53"/>
        <item x="37"/>
        <item x="6"/>
        <item x="15"/>
        <item x="50"/>
        <item x="32"/>
        <item x="3"/>
        <item x="11"/>
        <item x="40"/>
        <item x="4"/>
        <item x="33"/>
        <item x="55"/>
        <item x="24"/>
        <item x="36"/>
        <item x="9"/>
        <item x="13"/>
        <item x="0"/>
        <item x="22"/>
        <item x="34"/>
        <item x="31"/>
        <item x="48"/>
        <item x="26"/>
        <item x="45"/>
        <item x="25"/>
        <item x="51"/>
        <item x="19"/>
        <item x="49"/>
        <item x="5"/>
        <item x="20"/>
        <item x="7"/>
        <item x="17"/>
        <item x="10"/>
        <item x="43"/>
        <item x="35"/>
        <item x="21"/>
        <item x="29"/>
        <item x="30"/>
        <item x="47"/>
        <item x="54"/>
        <item x="44"/>
        <item x="2"/>
        <item x="14"/>
        <item x="28"/>
        <item x="18"/>
        <item x="8"/>
        <item x="16"/>
        <item t="default"/>
      </items>
    </pivotField>
    <pivotField showAll="0"/>
  </pivotFields>
  <rowFields count="1">
    <field x="8"/>
  </rowFields>
  <rowItems count="11">
    <i>
      <x v="1"/>
    </i>
    <i>
      <x v="8"/>
    </i>
    <i>
      <x v="6"/>
    </i>
    <i>
      <x v="2"/>
    </i>
    <i>
      <x v="9"/>
    </i>
    <i>
      <x v="5"/>
    </i>
    <i>
      <x v="3"/>
    </i>
    <i>
      <x v="4"/>
    </i>
    <i>
      <x v="7"/>
    </i>
    <i>
      <x/>
    </i>
    <i t="grand">
      <x/>
    </i>
  </rowItems>
  <colItems count="1">
    <i/>
  </colItems>
  <dataFields count="1">
    <dataField name="Sum of Total Sales (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createdVersion="5" indent="0" outline="1" outlineData="1" multipleFieldFilters="0">
  <location ref="F3:F4" firstHeaderRow="1" firstDataRow="1" firstDataCol="0"/>
  <pivotFields count="13">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7" showAll="0"/>
    <pivotField showAll="0"/>
    <pivotField showAll="0"/>
    <pivotField showAll="0"/>
    <pivotField dataField="1" showAll="0"/>
    <pivotField showAll="0"/>
    <pivotField showAll="0"/>
    <pivotField showAll="0"/>
    <pivotField showAll="0"/>
    <pivotField showAll="0"/>
    <pivotField showAll="0"/>
    <pivotField showAll="0"/>
  </pivotFields>
  <dataFields count="1">
    <dataField name="Sum of Units Sold" fld="5" baseField="0" baseItem="0"/>
  </dataFields>
  <formats count="3">
    <format dxfId="8">
      <pivotArea type="all" dataOnly="0" outline="0" fieldPosition="0"/>
    </format>
    <format dxfId="7">
      <pivotArea outline="0" collapsedLevelsAreSubtotals="1" fieldPosition="0"/>
    </format>
    <format dxfId="6">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tabSelected="1" workbookViewId="0">
      <pane ySplit="4" topLeftCell="A31" activePane="bottomLeft" state="frozen"/>
      <selection pane="bottomLeft"/>
    </sheetView>
  </sheetViews>
  <sheetFormatPr defaultColWidth="8.7109375" defaultRowHeight="15"/>
  <cols>
    <col min="1" max="1" width="81.28515625" customWidth="1"/>
    <col min="2" max="2" width="15.85546875" customWidth="1"/>
    <col min="3" max="3" width="14.5703125" customWidth="1"/>
    <col min="4" max="4" width="13.5703125" customWidth="1"/>
    <col min="5" max="5" width="23.42578125" customWidth="1"/>
    <col min="6" max="6" width="11.7109375" customWidth="1"/>
    <col min="7" max="7" width="17.85546875" customWidth="1"/>
    <col min="8" max="8" width="23.5703125" customWidth="1"/>
    <col min="9" max="9" width="26.28515625" customWidth="1"/>
    <col min="10" max="10" width="18" customWidth="1"/>
    <col min="11" max="11" width="22.28515625" customWidth="1"/>
    <col min="12" max="12" width="16.28515625" customWidth="1"/>
    <col min="13" max="13" width="17.28515625" customWidth="1"/>
    <col min="14" max="14" width="26.7109375" customWidth="1"/>
    <col min="18" max="18" width="20" customWidth="1"/>
  </cols>
  <sheetData>
    <row r="1" spans="1:13" ht="18">
      <c r="A1" s="23" t="s">
        <v>0</v>
      </c>
    </row>
    <row r="2" spans="1:13">
      <c r="A2" s="7" t="s">
        <v>1</v>
      </c>
    </row>
    <row r="4" spans="1:13">
      <c r="A4" s="12" t="s">
        <v>2</v>
      </c>
      <c r="B4" s="12" t="s">
        <v>3</v>
      </c>
      <c r="C4" s="12" t="s">
        <v>4</v>
      </c>
      <c r="D4" s="12" t="s">
        <v>5</v>
      </c>
      <c r="E4" s="12" t="s">
        <v>6</v>
      </c>
      <c r="F4" s="12" t="s">
        <v>7</v>
      </c>
      <c r="G4" s="12" t="s">
        <v>8</v>
      </c>
      <c r="H4" s="12" t="s">
        <v>9</v>
      </c>
      <c r="I4" s="12" t="s">
        <v>10</v>
      </c>
      <c r="J4" s="12" t="s">
        <v>11</v>
      </c>
      <c r="K4" s="12" t="s">
        <v>12</v>
      </c>
      <c r="L4" s="12" t="s">
        <v>13</v>
      </c>
      <c r="M4" s="12" t="s">
        <v>14</v>
      </c>
    </row>
    <row r="5" spans="1:13">
      <c r="A5" s="13" t="s">
        <v>15</v>
      </c>
      <c r="B5" s="16">
        <v>46108</v>
      </c>
      <c r="C5" s="13" t="s">
        <v>16</v>
      </c>
      <c r="D5" s="13" t="s">
        <v>17</v>
      </c>
      <c r="E5" s="13" t="s">
        <v>18</v>
      </c>
      <c r="F5" s="13">
        <v>17</v>
      </c>
      <c r="G5" s="13" t="s">
        <v>19</v>
      </c>
      <c r="H5" s="13" t="s">
        <v>20</v>
      </c>
      <c r="I5" s="17" t="str">
        <f>VLOOKUP(E5,'Product List'!$A$4:$D$14,2,FALSE)</f>
        <v>Powdered Milk (Carton)</v>
      </c>
      <c r="J5" s="17" t="str">
        <f>VLOOKUP(E5,'Product List'!$A$2:$D$100,3,FALSE)</f>
        <v>Dairy</v>
      </c>
      <c r="K5" s="18">
        <f>VLOOKUP(E5,'Product List'!$A$2:$D$100,4,FALSE)</f>
        <v>32000</v>
      </c>
      <c r="L5" s="17">
        <f>F5*K5</f>
        <v>544000</v>
      </c>
      <c r="M5" s="17" t="str">
        <f>IF(L5&lt;500000,"Low",IF(L5&lt;1000000,"Medium",IF(L5&lt;2000000,"High","Excellent")))</f>
        <v>Medium</v>
      </c>
    </row>
    <row r="6" spans="1:13">
      <c r="A6" s="13" t="s">
        <v>21</v>
      </c>
      <c r="B6" s="16">
        <v>46040</v>
      </c>
      <c r="C6" s="13" t="s">
        <v>16</v>
      </c>
      <c r="D6" s="13" t="s">
        <v>22</v>
      </c>
      <c r="E6" s="13" t="s">
        <v>23</v>
      </c>
      <c r="F6" s="13">
        <v>4</v>
      </c>
      <c r="G6" s="13" t="s">
        <v>19</v>
      </c>
      <c r="H6" s="13" t="s">
        <v>24</v>
      </c>
      <c r="I6" s="17" t="str">
        <f>VLOOKUP(E6,'Product List'!$A$4:$D$14,2,FALSE)</f>
        <v>Table Salt (Carton)</v>
      </c>
      <c r="J6" s="17" t="str">
        <f>VLOOKUP(E6,'Product List'!$A$2:$D$100,3,FALSE)</f>
        <v>Cooking Essentials</v>
      </c>
      <c r="K6" s="18">
        <f>VLOOKUP(E6,'Product List'!$A$2:$D$100,4,FALSE)</f>
        <v>8500</v>
      </c>
      <c r="L6" s="17">
        <f t="shared" ref="L6:L64" si="0">F6*K6</f>
        <v>34000</v>
      </c>
      <c r="M6" s="17" t="str">
        <f t="shared" ref="M6:M30" si="1">IF(L6&lt;500000,"Low",IF(L6&lt;1000000,"Medium",IF(L6&lt;2000000,"High","Excellent")))</f>
        <v>Low</v>
      </c>
    </row>
    <row r="7" spans="1:13">
      <c r="A7" s="13" t="s">
        <v>25</v>
      </c>
      <c r="B7" s="16">
        <v>46056</v>
      </c>
      <c r="C7" s="13" t="s">
        <v>26</v>
      </c>
      <c r="D7" s="13" t="s">
        <v>22</v>
      </c>
      <c r="E7" s="13" t="s">
        <v>27</v>
      </c>
      <c r="F7" s="13">
        <v>47</v>
      </c>
      <c r="G7" s="13" t="s">
        <v>28</v>
      </c>
      <c r="H7" s="13" t="s">
        <v>20</v>
      </c>
      <c r="I7" s="17" t="str">
        <f>VLOOKUP(E7,'Product List'!$A$4:$D$14,2,FALSE)</f>
        <v>Granulated Sugar (50kg)</v>
      </c>
      <c r="J7" s="17" t="str">
        <f>VLOOKUP(E7,'Product List'!$A$2:$D$100,3,FALSE)</f>
        <v>Cooking Essentials</v>
      </c>
      <c r="K7" s="18">
        <f>VLOOKUP(E7,'Product List'!$A$2:$D$100,4,FALSE)</f>
        <v>58000</v>
      </c>
      <c r="L7" s="17">
        <f t="shared" si="0"/>
        <v>2726000</v>
      </c>
      <c r="M7" s="17" t="str">
        <f t="shared" si="1"/>
        <v>Excellent</v>
      </c>
    </row>
    <row r="8" spans="1:13">
      <c r="A8" s="13" t="s">
        <v>29</v>
      </c>
      <c r="B8" s="16">
        <v>46080</v>
      </c>
      <c r="C8" s="13" t="s">
        <v>30</v>
      </c>
      <c r="D8" s="13" t="s">
        <v>31</v>
      </c>
      <c r="E8" s="13" t="s">
        <v>32</v>
      </c>
      <c r="F8" s="13">
        <v>19</v>
      </c>
      <c r="G8" s="13" t="s">
        <v>28</v>
      </c>
      <c r="H8" s="13" t="s">
        <v>24</v>
      </c>
      <c r="I8" s="17" t="str">
        <f>VLOOKUP(E8,'Product List'!$A$4:$D$14,2,FALSE)</f>
        <v>Bathing Soap (Carton)</v>
      </c>
      <c r="J8" s="17" t="str">
        <f>VLOOKUP(E8,'Product List'!$A$2:$D$100,3,FALSE)</f>
        <v>Household</v>
      </c>
      <c r="K8" s="18">
        <f>VLOOKUP(E8,'Product List'!$A$2:$D$100,4,FALSE)</f>
        <v>15500</v>
      </c>
      <c r="L8" s="17">
        <f t="shared" si="0"/>
        <v>294500</v>
      </c>
      <c r="M8" s="17" t="str">
        <f t="shared" si="1"/>
        <v>Low</v>
      </c>
    </row>
    <row r="9" spans="1:13">
      <c r="A9" s="13" t="s">
        <v>33</v>
      </c>
      <c r="B9" s="16">
        <v>46047</v>
      </c>
      <c r="C9" s="13" t="s">
        <v>34</v>
      </c>
      <c r="D9" s="13" t="s">
        <v>35</v>
      </c>
      <c r="E9" s="13" t="s">
        <v>18</v>
      </c>
      <c r="F9" s="13">
        <v>11</v>
      </c>
      <c r="G9" s="13" t="s">
        <v>19</v>
      </c>
      <c r="H9" s="13" t="s">
        <v>36</v>
      </c>
      <c r="I9" s="17" t="str">
        <f>VLOOKUP(E9,'Product List'!$A$4:$D$14,2,FALSE)</f>
        <v>Powdered Milk (Carton)</v>
      </c>
      <c r="J9" s="17" t="str">
        <f>VLOOKUP(E9,'Product List'!$A$2:$D$100,3,FALSE)</f>
        <v>Dairy</v>
      </c>
      <c r="K9" s="18">
        <f>VLOOKUP(E9,'Product List'!$A$2:$D$100,4,FALSE)</f>
        <v>32000</v>
      </c>
      <c r="L9" s="17">
        <f t="shared" si="0"/>
        <v>352000</v>
      </c>
      <c r="M9" s="17" t="str">
        <f t="shared" si="1"/>
        <v>Low</v>
      </c>
    </row>
    <row r="10" spans="1:13">
      <c r="A10" s="13" t="s">
        <v>37</v>
      </c>
      <c r="B10" s="16">
        <v>46040</v>
      </c>
      <c r="C10" s="13" t="s">
        <v>16</v>
      </c>
      <c r="D10" s="13" t="s">
        <v>31</v>
      </c>
      <c r="E10" s="13" t="s">
        <v>38</v>
      </c>
      <c r="F10" s="13">
        <v>24</v>
      </c>
      <c r="G10" s="13" t="s">
        <v>28</v>
      </c>
      <c r="H10" s="13" t="s">
        <v>20</v>
      </c>
      <c r="I10" s="17" t="str">
        <f>VLOOKUP(E10,'Product List'!$A$4:$D$14,2,FALSE)</f>
        <v>Beans (50kg bag)</v>
      </c>
      <c r="J10" s="17" t="str">
        <f>VLOOKUP(E10,'Product List'!$A$2:$D$100,3,FALSE)</f>
        <v>Grains</v>
      </c>
      <c r="K10" s="18">
        <f>VLOOKUP(E10,'Product List'!$A$2:$D$100,4,FALSE)</f>
        <v>62000</v>
      </c>
      <c r="L10" s="17">
        <f t="shared" si="0"/>
        <v>1488000</v>
      </c>
      <c r="M10" s="17" t="str">
        <f t="shared" si="1"/>
        <v>High</v>
      </c>
    </row>
    <row r="11" spans="1:13">
      <c r="A11" s="13" t="s">
        <v>39</v>
      </c>
      <c r="B11" s="16">
        <v>46060</v>
      </c>
      <c r="C11" s="13" t="s">
        <v>26</v>
      </c>
      <c r="D11" s="13" t="s">
        <v>31</v>
      </c>
      <c r="E11" s="13" t="s">
        <v>40</v>
      </c>
      <c r="F11" s="13">
        <v>9</v>
      </c>
      <c r="G11" s="13" t="s">
        <v>28</v>
      </c>
      <c r="H11" s="13" t="s">
        <v>36</v>
      </c>
      <c r="I11" s="17" t="str">
        <f>VLOOKUP(E11,'Product List'!$A$4:$D$14,2,FALSE)</f>
        <v>Laundry Detergent (Carton)</v>
      </c>
      <c r="J11" s="17" t="str">
        <f>VLOOKUP(E11,'Product List'!$A$2:$D$100,3,FALSE)</f>
        <v>Household</v>
      </c>
      <c r="K11" s="18">
        <f>VLOOKUP(E11,'Product List'!$A$2:$D$100,4,FALSE)</f>
        <v>21000</v>
      </c>
      <c r="L11" s="17">
        <f t="shared" si="0"/>
        <v>189000</v>
      </c>
      <c r="M11" s="17" t="str">
        <f t="shared" si="1"/>
        <v>Low</v>
      </c>
    </row>
    <row r="12" spans="1:13">
      <c r="A12" s="13" t="s">
        <v>41</v>
      </c>
      <c r="B12" s="16">
        <v>46037</v>
      </c>
      <c r="C12" s="13" t="s">
        <v>42</v>
      </c>
      <c r="D12" s="13" t="s">
        <v>22</v>
      </c>
      <c r="E12" s="13" t="s">
        <v>43</v>
      </c>
      <c r="F12" s="13">
        <v>38</v>
      </c>
      <c r="G12" s="13" t="s">
        <v>19</v>
      </c>
      <c r="H12" s="13" t="s">
        <v>24</v>
      </c>
      <c r="I12" s="17" t="str">
        <f>VLOOKUP(E12,'Product List'!$A$4:$D$14,2,FALSE)</f>
        <v>Wheat Flour (50kg)</v>
      </c>
      <c r="J12" s="17" t="str">
        <f>VLOOKUP(E12,'Product List'!$A$2:$D$100,3,FALSE)</f>
        <v>Grains</v>
      </c>
      <c r="K12" s="18">
        <f>VLOOKUP(E12,'Product List'!$A$2:$D$100,4,FALSE)</f>
        <v>41000</v>
      </c>
      <c r="L12" s="17">
        <f t="shared" si="0"/>
        <v>1558000</v>
      </c>
      <c r="M12" s="17" t="str">
        <f t="shared" si="1"/>
        <v>High</v>
      </c>
    </row>
    <row r="13" spans="1:13">
      <c r="A13" s="13" t="s">
        <v>44</v>
      </c>
      <c r="B13" s="16">
        <v>46032</v>
      </c>
      <c r="C13" s="13" t="s">
        <v>30</v>
      </c>
      <c r="D13" s="13" t="s">
        <v>35</v>
      </c>
      <c r="E13" s="13" t="s">
        <v>38</v>
      </c>
      <c r="F13" s="13">
        <v>56</v>
      </c>
      <c r="G13" s="13" t="s">
        <v>19</v>
      </c>
      <c r="H13" s="13" t="s">
        <v>24</v>
      </c>
      <c r="I13" s="17" t="str">
        <f>VLOOKUP(E13,'Product List'!$A$4:$D$14,2,FALSE)</f>
        <v>Beans (50kg bag)</v>
      </c>
      <c r="J13" s="17" t="str">
        <f>VLOOKUP(E13,'Product List'!$A$2:$D$100,3,FALSE)</f>
        <v>Grains</v>
      </c>
      <c r="K13" s="18">
        <f>VLOOKUP(E13,'Product List'!$A$2:$D$100,4,FALSE)</f>
        <v>62000</v>
      </c>
      <c r="L13" s="17">
        <f t="shared" si="0"/>
        <v>3472000</v>
      </c>
      <c r="M13" s="17" t="str">
        <f t="shared" si="1"/>
        <v>Excellent</v>
      </c>
    </row>
    <row r="14" spans="1:13">
      <c r="A14" s="13" t="s">
        <v>45</v>
      </c>
      <c r="B14" s="16">
        <v>46075</v>
      </c>
      <c r="C14" s="13" t="s">
        <v>42</v>
      </c>
      <c r="D14" s="13" t="s">
        <v>31</v>
      </c>
      <c r="E14" s="13" t="s">
        <v>43</v>
      </c>
      <c r="F14" s="13">
        <v>12</v>
      </c>
      <c r="G14" s="13" t="s">
        <v>19</v>
      </c>
      <c r="H14" s="13" t="s">
        <v>24</v>
      </c>
      <c r="I14" s="17" t="str">
        <f>VLOOKUP(E14,'Product List'!$A$4:$D$14,2,FALSE)</f>
        <v>Wheat Flour (50kg)</v>
      </c>
      <c r="J14" s="17" t="str">
        <f>VLOOKUP(E14,'Product List'!$A$2:$D$100,3,FALSE)</f>
        <v>Grains</v>
      </c>
      <c r="K14" s="18">
        <f>VLOOKUP(E14,'Product List'!$A$2:$D$100,4,FALSE)</f>
        <v>41000</v>
      </c>
      <c r="L14" s="17">
        <f t="shared" si="0"/>
        <v>492000</v>
      </c>
      <c r="M14" s="17" t="str">
        <f t="shared" si="1"/>
        <v>Low</v>
      </c>
    </row>
    <row r="15" spans="1:13">
      <c r="A15" s="13" t="s">
        <v>46</v>
      </c>
      <c r="B15" s="16">
        <v>46061</v>
      </c>
      <c r="C15" s="13" t="s">
        <v>16</v>
      </c>
      <c r="D15" s="13" t="s">
        <v>22</v>
      </c>
      <c r="E15" s="13" t="s">
        <v>47</v>
      </c>
      <c r="F15" s="13">
        <v>36</v>
      </c>
      <c r="G15" s="13" t="s">
        <v>28</v>
      </c>
      <c r="H15" s="13" t="s">
        <v>24</v>
      </c>
      <c r="I15" s="17" t="str">
        <f>VLOOKUP(E15,'Product List'!$A$4:$D$14,2,FALSE)</f>
        <v>Vegetable Oil (25L)</v>
      </c>
      <c r="J15" s="17" t="str">
        <f>VLOOKUP(E15,'Product List'!$A$2:$D$100,3,FALSE)</f>
        <v>Cooking Essentials</v>
      </c>
      <c r="K15" s="18">
        <f>VLOOKUP(E15,'Product List'!$A$2:$D$100,4,FALSE)</f>
        <v>45000</v>
      </c>
      <c r="L15" s="17">
        <f t="shared" si="0"/>
        <v>1620000</v>
      </c>
      <c r="M15" s="17" t="str">
        <f t="shared" si="1"/>
        <v>High</v>
      </c>
    </row>
    <row r="16" spans="1:13">
      <c r="A16" s="13" t="s">
        <v>48</v>
      </c>
      <c r="B16" s="16">
        <v>46086</v>
      </c>
      <c r="C16" s="13" t="s">
        <v>34</v>
      </c>
      <c r="D16" s="13" t="s">
        <v>35</v>
      </c>
      <c r="E16" s="13" t="s">
        <v>40</v>
      </c>
      <c r="F16" s="13">
        <v>16</v>
      </c>
      <c r="G16" s="13" t="s">
        <v>28</v>
      </c>
      <c r="H16" s="13" t="s">
        <v>24</v>
      </c>
      <c r="I16" s="17" t="str">
        <f>VLOOKUP(E16,'Product List'!$A$4:$D$14,2,FALSE)</f>
        <v>Laundry Detergent (Carton)</v>
      </c>
      <c r="J16" s="17" t="str">
        <f>VLOOKUP(E16,'Product List'!$A$2:$D$100,3,FALSE)</f>
        <v>Household</v>
      </c>
      <c r="K16" s="18">
        <f>VLOOKUP(E16,'Product List'!$A$2:$D$100,4,FALSE)</f>
        <v>21000</v>
      </c>
      <c r="L16" s="17">
        <f t="shared" si="0"/>
        <v>336000</v>
      </c>
      <c r="M16" s="17" t="str">
        <f t="shared" si="1"/>
        <v>Low</v>
      </c>
    </row>
    <row r="17" spans="1:13">
      <c r="A17" s="13" t="s">
        <v>49</v>
      </c>
      <c r="B17" s="16">
        <v>46056</v>
      </c>
      <c r="C17" s="13" t="s">
        <v>26</v>
      </c>
      <c r="D17" s="13" t="s">
        <v>35</v>
      </c>
      <c r="E17" s="13" t="s">
        <v>23</v>
      </c>
      <c r="F17" s="13">
        <v>19</v>
      </c>
      <c r="G17" s="13" t="s">
        <v>19</v>
      </c>
      <c r="H17" s="13" t="s">
        <v>20</v>
      </c>
      <c r="I17" s="17" t="str">
        <f>VLOOKUP(E17,'Product List'!$A$4:$D$14,2,FALSE)</f>
        <v>Table Salt (Carton)</v>
      </c>
      <c r="J17" s="17" t="str">
        <f>VLOOKUP(E17,'Product List'!$A$2:$D$100,3,FALSE)</f>
        <v>Cooking Essentials</v>
      </c>
      <c r="K17" s="18">
        <f>VLOOKUP(E17,'Product List'!$A$2:$D$100,4,FALSE)</f>
        <v>8500</v>
      </c>
      <c r="L17" s="17">
        <f t="shared" si="0"/>
        <v>161500</v>
      </c>
      <c r="M17" s="17" t="str">
        <f t="shared" si="1"/>
        <v>Low</v>
      </c>
    </row>
    <row r="18" spans="1:13">
      <c r="A18" s="13" t="s">
        <v>50</v>
      </c>
      <c r="B18" s="16">
        <v>46067</v>
      </c>
      <c r="C18" s="13" t="s">
        <v>30</v>
      </c>
      <c r="D18" s="13" t="s">
        <v>31</v>
      </c>
      <c r="E18" s="13" t="s">
        <v>23</v>
      </c>
      <c r="F18" s="13">
        <v>58</v>
      </c>
      <c r="G18" s="13" t="s">
        <v>28</v>
      </c>
      <c r="H18" s="13" t="s">
        <v>36</v>
      </c>
      <c r="I18" s="17" t="str">
        <f>VLOOKUP(E18,'Product List'!$A$4:$D$14,2,FALSE)</f>
        <v>Table Salt (Carton)</v>
      </c>
      <c r="J18" s="17" t="str">
        <f>VLOOKUP(E18,'Product List'!$A$2:$D$100,3,FALSE)</f>
        <v>Cooking Essentials</v>
      </c>
      <c r="K18" s="18">
        <f>VLOOKUP(E18,'Product List'!$A$2:$D$100,4,FALSE)</f>
        <v>8500</v>
      </c>
      <c r="L18" s="17">
        <f t="shared" si="0"/>
        <v>493000</v>
      </c>
      <c r="M18" s="17" t="str">
        <f t="shared" si="1"/>
        <v>Low</v>
      </c>
    </row>
    <row r="19" spans="1:13">
      <c r="A19" s="13" t="s">
        <v>51</v>
      </c>
      <c r="B19" s="16">
        <v>46045</v>
      </c>
      <c r="C19" s="13" t="s">
        <v>42</v>
      </c>
      <c r="D19" s="13" t="s">
        <v>52</v>
      </c>
      <c r="E19" s="13" t="s">
        <v>27</v>
      </c>
      <c r="F19" s="13">
        <v>49</v>
      </c>
      <c r="G19" s="13" t="s">
        <v>28</v>
      </c>
      <c r="H19" s="13" t="s">
        <v>36</v>
      </c>
      <c r="I19" s="17" t="str">
        <f>VLOOKUP(E19,'Product List'!$A$4:$D$14,2,FALSE)</f>
        <v>Granulated Sugar (50kg)</v>
      </c>
      <c r="J19" s="17" t="str">
        <f>VLOOKUP(E19,'Product List'!$A$2:$D$100,3,FALSE)</f>
        <v>Cooking Essentials</v>
      </c>
      <c r="K19" s="18">
        <f>VLOOKUP(E19,'Product List'!$A$2:$D$100,4,FALSE)</f>
        <v>58000</v>
      </c>
      <c r="L19" s="17">
        <f t="shared" si="0"/>
        <v>2842000</v>
      </c>
      <c r="M19" s="17" t="str">
        <f t="shared" si="1"/>
        <v>Excellent</v>
      </c>
    </row>
    <row r="20" spans="1:13">
      <c r="A20" s="13" t="s">
        <v>53</v>
      </c>
      <c r="B20" s="16">
        <v>46101</v>
      </c>
      <c r="C20" s="13" t="s">
        <v>34</v>
      </c>
      <c r="D20" s="13" t="s">
        <v>22</v>
      </c>
      <c r="E20" s="13" t="s">
        <v>23</v>
      </c>
      <c r="F20" s="13">
        <v>25</v>
      </c>
      <c r="G20" s="13" t="s">
        <v>19</v>
      </c>
      <c r="H20" s="13" t="s">
        <v>24</v>
      </c>
      <c r="I20" s="17" t="str">
        <f>VLOOKUP(E20,'Product List'!$A$4:$D$14,2,FALSE)</f>
        <v>Table Salt (Carton)</v>
      </c>
      <c r="J20" s="17" t="str">
        <f>VLOOKUP(E20,'Product List'!$A$2:$D$100,3,FALSE)</f>
        <v>Cooking Essentials</v>
      </c>
      <c r="K20" s="18">
        <f>VLOOKUP(E20,'Product List'!$A$2:$D$100,4,FALSE)</f>
        <v>8500</v>
      </c>
      <c r="L20" s="17">
        <f t="shared" si="0"/>
        <v>212500</v>
      </c>
      <c r="M20" s="17" t="str">
        <f t="shared" si="1"/>
        <v>Low</v>
      </c>
    </row>
    <row r="21" spans="1:13">
      <c r="A21" s="13" t="s">
        <v>54</v>
      </c>
      <c r="B21" s="16">
        <v>46092</v>
      </c>
      <c r="C21" s="13" t="s">
        <v>55</v>
      </c>
      <c r="D21" s="13" t="s">
        <v>17</v>
      </c>
      <c r="E21" s="13" t="s">
        <v>56</v>
      </c>
      <c r="F21" s="13">
        <v>57</v>
      </c>
      <c r="G21" s="13" t="s">
        <v>19</v>
      </c>
      <c r="H21" s="13" t="s">
        <v>20</v>
      </c>
      <c r="I21" s="17" t="str">
        <f>VLOOKUP(E21,'Product List'!$A$4:$D$14,2,FALSE)</f>
        <v>Rice (50kg bag)</v>
      </c>
      <c r="J21" s="17" t="str">
        <f>VLOOKUP(E21,'Product List'!$A$2:$D$100,3,FALSE)</f>
        <v>Grains</v>
      </c>
      <c r="K21" s="18">
        <f>VLOOKUP(E21,'Product List'!$A$2:$D$100,4,FALSE)</f>
        <v>68000</v>
      </c>
      <c r="L21" s="17">
        <f t="shared" si="0"/>
        <v>3876000</v>
      </c>
      <c r="M21" s="17" t="str">
        <f t="shared" si="1"/>
        <v>Excellent</v>
      </c>
    </row>
    <row r="22" spans="1:13">
      <c r="A22" s="13" t="s">
        <v>57</v>
      </c>
      <c r="B22" s="16">
        <v>46047</v>
      </c>
      <c r="C22" s="13" t="s">
        <v>34</v>
      </c>
      <c r="D22" s="13" t="s">
        <v>22</v>
      </c>
      <c r="E22" s="13" t="s">
        <v>38</v>
      </c>
      <c r="F22" s="13">
        <v>26</v>
      </c>
      <c r="G22" s="13" t="s">
        <v>19</v>
      </c>
      <c r="H22" s="13" t="s">
        <v>36</v>
      </c>
      <c r="I22" s="17" t="str">
        <f>VLOOKUP(E22,'Product List'!$A$4:$D$14,2,FALSE)</f>
        <v>Beans (50kg bag)</v>
      </c>
      <c r="J22" s="17" t="str">
        <f>VLOOKUP(E22,'Product List'!$A$2:$D$100,3,FALSE)</f>
        <v>Grains</v>
      </c>
      <c r="K22" s="18">
        <f>VLOOKUP(E22,'Product List'!$A$2:$D$100,4,FALSE)</f>
        <v>62000</v>
      </c>
      <c r="L22" s="17">
        <f t="shared" si="0"/>
        <v>1612000</v>
      </c>
      <c r="M22" s="17" t="str">
        <f t="shared" si="1"/>
        <v>High</v>
      </c>
    </row>
    <row r="23" spans="1:13">
      <c r="A23" s="13" t="s">
        <v>58</v>
      </c>
      <c r="B23" s="16">
        <v>46094</v>
      </c>
      <c r="C23" s="13" t="s">
        <v>42</v>
      </c>
      <c r="D23" s="13" t="s">
        <v>22</v>
      </c>
      <c r="E23" s="13" t="s">
        <v>56</v>
      </c>
      <c r="F23" s="13">
        <v>45</v>
      </c>
      <c r="G23" s="13" t="s">
        <v>28</v>
      </c>
      <c r="H23" s="13" t="s">
        <v>20</v>
      </c>
      <c r="I23" s="17" t="str">
        <f>VLOOKUP(E23,'Product List'!$A$4:$D$14,2,FALSE)</f>
        <v>Rice (50kg bag)</v>
      </c>
      <c r="J23" s="17" t="str">
        <f>VLOOKUP(E23,'Product List'!$A$2:$D$100,3,FALSE)</f>
        <v>Grains</v>
      </c>
      <c r="K23" s="18">
        <f>VLOOKUP(E23,'Product List'!$A$2:$D$100,4,FALSE)</f>
        <v>68000</v>
      </c>
      <c r="L23" s="17">
        <f t="shared" si="0"/>
        <v>3060000</v>
      </c>
      <c r="M23" s="17" t="str">
        <f t="shared" si="1"/>
        <v>Excellent</v>
      </c>
    </row>
    <row r="24" spans="1:13">
      <c r="A24" s="13" t="s">
        <v>59</v>
      </c>
      <c r="B24" s="16">
        <v>46095</v>
      </c>
      <c r="C24" s="13" t="s">
        <v>42</v>
      </c>
      <c r="D24" s="13" t="s">
        <v>35</v>
      </c>
      <c r="E24" s="13" t="s">
        <v>38</v>
      </c>
      <c r="F24" s="13">
        <v>20</v>
      </c>
      <c r="G24" s="13" t="s">
        <v>19</v>
      </c>
      <c r="H24" s="13" t="s">
        <v>36</v>
      </c>
      <c r="I24" s="17" t="str">
        <f>VLOOKUP(E24,'Product List'!$A$4:$D$14,2,FALSE)</f>
        <v>Beans (50kg bag)</v>
      </c>
      <c r="J24" s="17" t="str">
        <f>VLOOKUP(E24,'Product List'!$A$2:$D$100,3,FALSE)</f>
        <v>Grains</v>
      </c>
      <c r="K24" s="18">
        <f>VLOOKUP(E24,'Product List'!$A$2:$D$100,4,FALSE)</f>
        <v>62000</v>
      </c>
      <c r="L24" s="17">
        <f t="shared" si="0"/>
        <v>1240000</v>
      </c>
      <c r="M24" s="17" t="str">
        <f t="shared" si="1"/>
        <v>High</v>
      </c>
    </row>
    <row r="25" spans="1:13">
      <c r="A25" s="13" t="s">
        <v>60</v>
      </c>
      <c r="B25" s="16">
        <v>46027</v>
      </c>
      <c r="C25" s="13" t="s">
        <v>42</v>
      </c>
      <c r="D25" s="13" t="s">
        <v>22</v>
      </c>
      <c r="E25" s="13" t="s">
        <v>47</v>
      </c>
      <c r="F25" s="13">
        <v>34</v>
      </c>
      <c r="G25" s="13" t="s">
        <v>28</v>
      </c>
      <c r="H25" s="13" t="s">
        <v>20</v>
      </c>
      <c r="I25" s="17" t="str">
        <f>VLOOKUP(E25,'Product List'!$A$4:$D$14,2,FALSE)</f>
        <v>Vegetable Oil (25L)</v>
      </c>
      <c r="J25" s="17" t="str">
        <f>VLOOKUP(E25,'Product List'!$A$2:$D$100,3,FALSE)</f>
        <v>Cooking Essentials</v>
      </c>
      <c r="K25" s="18">
        <f>VLOOKUP(E25,'Product List'!$A$2:$D$100,4,FALSE)</f>
        <v>45000</v>
      </c>
      <c r="L25" s="17">
        <f t="shared" si="0"/>
        <v>1530000</v>
      </c>
      <c r="M25" s="17" t="str">
        <f t="shared" si="1"/>
        <v>High</v>
      </c>
    </row>
    <row r="26" spans="1:13">
      <c r="A26" s="13" t="s">
        <v>61</v>
      </c>
      <c r="B26" s="16">
        <v>46065</v>
      </c>
      <c r="C26" s="13" t="s">
        <v>30</v>
      </c>
      <c r="D26" s="13" t="s">
        <v>52</v>
      </c>
      <c r="E26" s="13" t="s">
        <v>43</v>
      </c>
      <c r="F26" s="13">
        <v>50</v>
      </c>
      <c r="G26" s="13" t="s">
        <v>19</v>
      </c>
      <c r="H26" s="13" t="s">
        <v>20</v>
      </c>
      <c r="I26" s="17" t="str">
        <f>VLOOKUP(E26,'Product List'!$A$4:$D$14,2,FALSE)</f>
        <v>Wheat Flour (50kg)</v>
      </c>
      <c r="J26" s="17" t="str">
        <f>VLOOKUP(E26,'Product List'!$A$2:$D$100,3,FALSE)</f>
        <v>Grains</v>
      </c>
      <c r="K26" s="18">
        <f>VLOOKUP(E26,'Product List'!$A$2:$D$100,4,FALSE)</f>
        <v>41000</v>
      </c>
      <c r="L26" s="17">
        <f t="shared" si="0"/>
        <v>2050000</v>
      </c>
      <c r="M26" s="17" t="str">
        <f t="shared" si="1"/>
        <v>Excellent</v>
      </c>
    </row>
    <row r="27" spans="1:13">
      <c r="A27" s="13" t="s">
        <v>62</v>
      </c>
      <c r="B27" s="16">
        <v>46027</v>
      </c>
      <c r="C27" s="13" t="s">
        <v>63</v>
      </c>
      <c r="D27" s="13" t="s">
        <v>31</v>
      </c>
      <c r="E27" s="13" t="s">
        <v>56</v>
      </c>
      <c r="F27" s="13">
        <v>9</v>
      </c>
      <c r="G27" s="13" t="s">
        <v>28</v>
      </c>
      <c r="H27" s="13" t="s">
        <v>36</v>
      </c>
      <c r="I27" s="17" t="str">
        <f>VLOOKUP(E27,'Product List'!$A$4:$D$14,2,FALSE)</f>
        <v>Rice (50kg bag)</v>
      </c>
      <c r="J27" s="17" t="str">
        <f>VLOOKUP(E27,'Product List'!$A$2:$D$100,3,FALSE)</f>
        <v>Grains</v>
      </c>
      <c r="K27" s="18">
        <f>VLOOKUP(E27,'Product List'!$A$2:$D$100,4,FALSE)</f>
        <v>68000</v>
      </c>
      <c r="L27" s="17">
        <f t="shared" si="0"/>
        <v>612000</v>
      </c>
      <c r="M27" s="17" t="str">
        <f t="shared" si="1"/>
        <v>Medium</v>
      </c>
    </row>
    <row r="28" spans="1:13">
      <c r="A28" s="13" t="s">
        <v>64</v>
      </c>
      <c r="B28" s="16">
        <v>46057</v>
      </c>
      <c r="C28" s="13" t="s">
        <v>26</v>
      </c>
      <c r="D28" s="13" t="s">
        <v>52</v>
      </c>
      <c r="E28" s="13" t="s">
        <v>32</v>
      </c>
      <c r="F28" s="13">
        <v>7</v>
      </c>
      <c r="G28" s="13" t="s">
        <v>19</v>
      </c>
      <c r="H28" s="13" t="s">
        <v>36</v>
      </c>
      <c r="I28" s="17" t="str">
        <f>VLOOKUP(E28,'Product List'!$A$4:$D$14,2,FALSE)</f>
        <v>Bathing Soap (Carton)</v>
      </c>
      <c r="J28" s="17" t="str">
        <f>VLOOKUP(E28,'Product List'!$A$2:$D$100,3,FALSE)</f>
        <v>Household</v>
      </c>
      <c r="K28" s="18">
        <f>VLOOKUP(E28,'Product List'!$A$2:$D$100,4,FALSE)</f>
        <v>15500</v>
      </c>
      <c r="L28" s="17">
        <f t="shared" si="0"/>
        <v>108500</v>
      </c>
      <c r="M28" s="17" t="str">
        <f t="shared" si="1"/>
        <v>Low</v>
      </c>
    </row>
    <row r="29" spans="1:13">
      <c r="A29" s="13" t="s">
        <v>65</v>
      </c>
      <c r="B29" s="16">
        <v>46035</v>
      </c>
      <c r="C29" s="13" t="s">
        <v>66</v>
      </c>
      <c r="D29" s="13" t="s">
        <v>52</v>
      </c>
      <c r="E29" s="13" t="s">
        <v>67</v>
      </c>
      <c r="F29" s="13">
        <v>37</v>
      </c>
      <c r="G29" s="13" t="s">
        <v>19</v>
      </c>
      <c r="H29" s="13" t="s">
        <v>20</v>
      </c>
      <c r="I29" s="17" t="str">
        <f>VLOOKUP(E29,'Product List'!$A$4:$D$14,2,FALSE)</f>
        <v>Instant Noodles (Carton)</v>
      </c>
      <c r="J29" s="17" t="str">
        <f>VLOOKUP(E29,'Product List'!$A$2:$D$100,3,FALSE)</f>
        <v>Packaged Foods</v>
      </c>
      <c r="K29" s="18">
        <f>VLOOKUP(E29,'Product List'!$A$2:$D$100,4,FALSE)</f>
        <v>12500</v>
      </c>
      <c r="L29" s="17">
        <f t="shared" si="0"/>
        <v>462500</v>
      </c>
      <c r="M29" s="17" t="str">
        <f t="shared" si="1"/>
        <v>Low</v>
      </c>
    </row>
    <row r="30" spans="1:13">
      <c r="A30" s="13" t="s">
        <v>68</v>
      </c>
      <c r="B30" s="16">
        <v>46104</v>
      </c>
      <c r="C30" s="13" t="s">
        <v>34</v>
      </c>
      <c r="D30" s="13" t="s">
        <v>52</v>
      </c>
      <c r="E30" s="13" t="s">
        <v>40</v>
      </c>
      <c r="F30" s="13">
        <v>50</v>
      </c>
      <c r="G30" s="13" t="s">
        <v>28</v>
      </c>
      <c r="H30" s="13" t="s">
        <v>24</v>
      </c>
      <c r="I30" s="17" t="str">
        <f>VLOOKUP(E30,'Product List'!$A$4:$D$14,2,FALSE)</f>
        <v>Laundry Detergent (Carton)</v>
      </c>
      <c r="J30" s="17" t="str">
        <f>VLOOKUP(E30,'Product List'!$A$2:$D$100,3,FALSE)</f>
        <v>Household</v>
      </c>
      <c r="K30" s="18">
        <f>VLOOKUP(E30,'Product List'!$A$2:$D$100,4,FALSE)</f>
        <v>21000</v>
      </c>
      <c r="L30" s="17">
        <f t="shared" si="0"/>
        <v>1050000</v>
      </c>
      <c r="M30" s="17" t="str">
        <f t="shared" si="1"/>
        <v>High</v>
      </c>
    </row>
    <row r="31" spans="1:13">
      <c r="A31" s="13" t="s">
        <v>69</v>
      </c>
      <c r="B31" s="16">
        <v>46066</v>
      </c>
      <c r="C31" s="13" t="s">
        <v>34</v>
      </c>
      <c r="D31" s="13" t="s">
        <v>35</v>
      </c>
      <c r="E31" s="13" t="s">
        <v>67</v>
      </c>
      <c r="F31" s="13">
        <v>59</v>
      </c>
      <c r="G31" s="13" t="s">
        <v>28</v>
      </c>
      <c r="H31" s="13" t="s">
        <v>24</v>
      </c>
      <c r="I31" s="17" t="str">
        <f>VLOOKUP(E31,'Product List'!$A$4:$D$14,2,FALSE)</f>
        <v>Instant Noodles (Carton)</v>
      </c>
      <c r="J31" s="17" t="str">
        <f>VLOOKUP(E31,'Product List'!$A$2:$D$100,3,FALSE)</f>
        <v>Packaged Foods</v>
      </c>
      <c r="K31" s="18">
        <f>VLOOKUP(E31,'Product List'!$A$2:$D$100,4,FALSE)</f>
        <v>12500</v>
      </c>
      <c r="L31" s="17">
        <f t="shared" si="0"/>
        <v>737500</v>
      </c>
      <c r="M31" s="17" t="str">
        <f>IF(L5&lt;500000,"Low",IF(L5&lt;1000000,"Medium",IF(L5&lt;2000000,"High","Excellent")))</f>
        <v>Medium</v>
      </c>
    </row>
    <row r="32" spans="1:13">
      <c r="A32" s="13" t="s">
        <v>70</v>
      </c>
      <c r="B32" s="16">
        <v>46058</v>
      </c>
      <c r="C32" s="13" t="s">
        <v>30</v>
      </c>
      <c r="D32" s="13" t="s">
        <v>17</v>
      </c>
      <c r="E32" s="13" t="s">
        <v>43</v>
      </c>
      <c r="F32" s="13">
        <v>3</v>
      </c>
      <c r="G32" s="13" t="s">
        <v>28</v>
      </c>
      <c r="H32" s="13" t="s">
        <v>24</v>
      </c>
      <c r="I32" s="17" t="str">
        <f>VLOOKUP(E32,'Product List'!$A$4:$D$14,2,FALSE)</f>
        <v>Wheat Flour (50kg)</v>
      </c>
      <c r="J32" s="17" t="str">
        <f>VLOOKUP(E32,'Product List'!$A$2:$D$100,3,FALSE)</f>
        <v>Grains</v>
      </c>
      <c r="K32" s="18">
        <f>VLOOKUP(E32,'Product List'!$A$2:$D$100,4,FALSE)</f>
        <v>41000</v>
      </c>
      <c r="L32" s="17">
        <f t="shared" si="0"/>
        <v>123000</v>
      </c>
      <c r="M32" s="17" t="str">
        <f t="shared" ref="M32:M64" si="2">IF(L6&lt;500000,"Low",IF(L6&lt;1000000,"Medium",IF(L6&lt;2000000,"High","Excellent")))</f>
        <v>Low</v>
      </c>
    </row>
    <row r="33" spans="1:14">
      <c r="A33" s="13" t="s">
        <v>71</v>
      </c>
      <c r="B33" s="16">
        <v>46102</v>
      </c>
      <c r="C33" s="13" t="s">
        <v>30</v>
      </c>
      <c r="D33" s="13" t="s">
        <v>17</v>
      </c>
      <c r="E33" s="13" t="s">
        <v>38</v>
      </c>
      <c r="F33" s="13">
        <v>47</v>
      </c>
      <c r="G33" s="13" t="s">
        <v>28</v>
      </c>
      <c r="H33" s="13" t="s">
        <v>24</v>
      </c>
      <c r="I33" s="17" t="str">
        <f>VLOOKUP(E33,'Product List'!$A$4:$D$14,2,FALSE)</f>
        <v>Beans (50kg bag)</v>
      </c>
      <c r="J33" s="17" t="str">
        <f>VLOOKUP(E33,'Product List'!$A$2:$D$100,3,FALSE)</f>
        <v>Grains</v>
      </c>
      <c r="K33" s="18">
        <f>VLOOKUP(E33,'Product List'!$A$2:$D$100,4,FALSE)</f>
        <v>62000</v>
      </c>
      <c r="L33" s="17">
        <f t="shared" si="0"/>
        <v>2914000</v>
      </c>
      <c r="M33" s="17" t="str">
        <f t="shared" si="2"/>
        <v>Excellent</v>
      </c>
    </row>
    <row r="34" spans="1:14">
      <c r="A34" s="13" t="s">
        <v>72</v>
      </c>
      <c r="B34" s="16">
        <v>46035</v>
      </c>
      <c r="C34" s="13" t="s">
        <v>26</v>
      </c>
      <c r="D34" s="13" t="s">
        <v>35</v>
      </c>
      <c r="E34" s="13" t="s">
        <v>38</v>
      </c>
      <c r="F34" s="13">
        <v>34</v>
      </c>
      <c r="G34" s="13" t="s">
        <v>19</v>
      </c>
      <c r="H34" s="13" t="s">
        <v>20</v>
      </c>
      <c r="I34" s="17" t="str">
        <f>VLOOKUP(E34,'Product List'!$A$4:$D$14,2,FALSE)</f>
        <v>Beans (50kg bag)</v>
      </c>
      <c r="J34" s="17" t="str">
        <f>VLOOKUP(E34,'Product List'!$A$2:$D$100,3,FALSE)</f>
        <v>Grains</v>
      </c>
      <c r="K34" s="18">
        <f>VLOOKUP(E34,'Product List'!$A$2:$D$100,4,FALSE)</f>
        <v>62000</v>
      </c>
      <c r="L34" s="17">
        <f t="shared" si="0"/>
        <v>2108000</v>
      </c>
      <c r="M34" s="17" t="str">
        <f t="shared" si="2"/>
        <v>Low</v>
      </c>
    </row>
    <row r="35" spans="1:14">
      <c r="A35" s="13" t="s">
        <v>73</v>
      </c>
      <c r="B35" s="16">
        <v>46089</v>
      </c>
      <c r="C35" s="13" t="s">
        <v>30</v>
      </c>
      <c r="D35" s="13" t="s">
        <v>22</v>
      </c>
      <c r="E35" s="13" t="s">
        <v>47</v>
      </c>
      <c r="F35" s="13">
        <v>48</v>
      </c>
      <c r="G35" s="13" t="s">
        <v>28</v>
      </c>
      <c r="H35" s="13" t="s">
        <v>20</v>
      </c>
      <c r="I35" s="17" t="str">
        <f>VLOOKUP(E35,'Product List'!$A$4:$D$14,2,FALSE)</f>
        <v>Vegetable Oil (25L)</v>
      </c>
      <c r="J35" s="17" t="str">
        <f>VLOOKUP(E35,'Product List'!$A$2:$D$100,3,FALSE)</f>
        <v>Cooking Essentials</v>
      </c>
      <c r="K35" s="18">
        <f>VLOOKUP(E35,'Product List'!$A$2:$D$100,4,FALSE)</f>
        <v>45000</v>
      </c>
      <c r="L35" s="17">
        <f t="shared" si="0"/>
        <v>2160000</v>
      </c>
      <c r="M35" s="17" t="str">
        <f t="shared" si="2"/>
        <v>Low</v>
      </c>
      <c r="N35" s="22" t="s">
        <v>74</v>
      </c>
    </row>
    <row r="36" spans="1:14">
      <c r="A36" s="13" t="s">
        <v>75</v>
      </c>
      <c r="B36" s="16">
        <v>46100</v>
      </c>
      <c r="C36" s="13" t="s">
        <v>55</v>
      </c>
      <c r="D36" s="13" t="s">
        <v>52</v>
      </c>
      <c r="E36" s="13" t="s">
        <v>67</v>
      </c>
      <c r="F36" s="13">
        <v>53</v>
      </c>
      <c r="G36" s="13" t="s">
        <v>19</v>
      </c>
      <c r="H36" s="13" t="s">
        <v>24</v>
      </c>
      <c r="I36" s="17" t="str">
        <f>VLOOKUP(E36,'Product List'!$A$4:$D$14,2,FALSE)</f>
        <v>Instant Noodles (Carton)</v>
      </c>
      <c r="J36" s="17" t="str">
        <f>VLOOKUP(E36,'Product List'!$A$2:$D$100,3,FALSE)</f>
        <v>Packaged Foods</v>
      </c>
      <c r="K36" s="18">
        <f>VLOOKUP(E36,'Product List'!$A$2:$D$100,4,FALSE)</f>
        <v>12500</v>
      </c>
      <c r="L36" s="17">
        <f t="shared" si="0"/>
        <v>662500</v>
      </c>
      <c r="M36" s="17" t="str">
        <f t="shared" si="2"/>
        <v>High</v>
      </c>
      <c r="N36" s="19">
        <f>SUMIF(D5:D64,"Lagos",L5:L64)</f>
        <v>10016000</v>
      </c>
    </row>
    <row r="37" spans="1:14">
      <c r="A37" s="13" t="s">
        <v>76</v>
      </c>
      <c r="B37" s="16">
        <v>46039</v>
      </c>
      <c r="C37" s="13" t="s">
        <v>34</v>
      </c>
      <c r="D37" s="13" t="s">
        <v>35</v>
      </c>
      <c r="E37" s="13" t="s">
        <v>23</v>
      </c>
      <c r="F37" s="13">
        <v>28</v>
      </c>
      <c r="G37" s="13" t="s">
        <v>28</v>
      </c>
      <c r="H37" s="13" t="s">
        <v>20</v>
      </c>
      <c r="I37" s="17" t="str">
        <f>VLOOKUP(E37,'Product List'!$A$4:$D$14,2,FALSE)</f>
        <v>Table Salt (Carton)</v>
      </c>
      <c r="J37" s="17" t="str">
        <f>VLOOKUP(E37,'Product List'!$A$2:$D$100,3,FALSE)</f>
        <v>Cooking Essentials</v>
      </c>
      <c r="K37" s="18">
        <f>VLOOKUP(E37,'Product List'!$A$2:$D$100,4,FALSE)</f>
        <v>8500</v>
      </c>
      <c r="L37" s="17">
        <f t="shared" si="0"/>
        <v>238000</v>
      </c>
      <c r="M37" s="17" t="str">
        <f t="shared" si="2"/>
        <v>Low</v>
      </c>
      <c r="N37" s="19"/>
    </row>
    <row r="38" spans="1:14">
      <c r="A38" s="13" t="s">
        <v>77</v>
      </c>
      <c r="B38" s="16">
        <v>46033</v>
      </c>
      <c r="C38" s="13" t="s">
        <v>16</v>
      </c>
      <c r="D38" s="13" t="s">
        <v>17</v>
      </c>
      <c r="E38" s="13" t="s">
        <v>23</v>
      </c>
      <c r="F38" s="13">
        <v>48</v>
      </c>
      <c r="G38" s="13" t="s">
        <v>19</v>
      </c>
      <c r="H38" s="13" t="s">
        <v>24</v>
      </c>
      <c r="I38" s="17" t="str">
        <f>VLOOKUP(E38,'Product List'!$A$4:$D$14,2,FALSE)</f>
        <v>Table Salt (Carton)</v>
      </c>
      <c r="J38" s="17" t="str">
        <f>VLOOKUP(E38,'Product List'!$A$2:$D$100,3,FALSE)</f>
        <v>Cooking Essentials</v>
      </c>
      <c r="K38" s="18">
        <f>VLOOKUP(E38,'Product List'!$A$2:$D$100,4,FALSE)</f>
        <v>8500</v>
      </c>
      <c r="L38" s="17">
        <f t="shared" si="0"/>
        <v>408000</v>
      </c>
      <c r="M38" s="17" t="str">
        <f t="shared" si="2"/>
        <v>High</v>
      </c>
      <c r="N38" s="19"/>
    </row>
    <row r="39" spans="1:14">
      <c r="A39" s="13" t="s">
        <v>78</v>
      </c>
      <c r="B39" s="16">
        <v>46058</v>
      </c>
      <c r="C39" s="13" t="s">
        <v>30</v>
      </c>
      <c r="D39" s="13" t="s">
        <v>52</v>
      </c>
      <c r="E39" s="13" t="s">
        <v>40</v>
      </c>
      <c r="F39" s="13">
        <v>30</v>
      </c>
      <c r="G39" s="13" t="s">
        <v>19</v>
      </c>
      <c r="H39" s="13" t="s">
        <v>24</v>
      </c>
      <c r="I39" s="17" t="str">
        <f>VLOOKUP(E39,'Product List'!$A$4:$D$14,2,FALSE)</f>
        <v>Laundry Detergent (Carton)</v>
      </c>
      <c r="J39" s="17" t="str">
        <f>VLOOKUP(E39,'Product List'!$A$2:$D$100,3,FALSE)</f>
        <v>Household</v>
      </c>
      <c r="K39" s="18">
        <f>VLOOKUP(E39,'Product List'!$A$2:$D$100,4,FALSE)</f>
        <v>21000</v>
      </c>
      <c r="L39" s="17">
        <f t="shared" si="0"/>
        <v>630000</v>
      </c>
      <c r="M39" s="17" t="str">
        <f t="shared" si="2"/>
        <v>Excellent</v>
      </c>
      <c r="N39" s="19"/>
    </row>
    <row r="40" spans="1:14">
      <c r="A40" s="13" t="s">
        <v>79</v>
      </c>
      <c r="B40" s="16">
        <v>46062</v>
      </c>
      <c r="C40" s="13" t="s">
        <v>55</v>
      </c>
      <c r="D40" s="13" t="s">
        <v>52</v>
      </c>
      <c r="E40" s="13" t="s">
        <v>38</v>
      </c>
      <c r="F40" s="13">
        <v>30</v>
      </c>
      <c r="G40" s="13" t="s">
        <v>28</v>
      </c>
      <c r="H40" s="13" t="s">
        <v>20</v>
      </c>
      <c r="I40" s="17" t="str">
        <f>VLOOKUP(E40,'Product List'!$A$4:$D$14,2,FALSE)</f>
        <v>Beans (50kg bag)</v>
      </c>
      <c r="J40" s="17" t="str">
        <f>VLOOKUP(E40,'Product List'!$A$2:$D$100,3,FALSE)</f>
        <v>Grains</v>
      </c>
      <c r="K40" s="18">
        <f>VLOOKUP(E40,'Product List'!$A$2:$D$100,4,FALSE)</f>
        <v>62000</v>
      </c>
      <c r="L40" s="17">
        <f t="shared" si="0"/>
        <v>1860000</v>
      </c>
      <c r="M40" s="17" t="str">
        <f t="shared" si="2"/>
        <v>Low</v>
      </c>
      <c r="N40" s="22" t="s">
        <v>80</v>
      </c>
    </row>
    <row r="41" spans="1:14">
      <c r="A41" s="13" t="s">
        <v>81</v>
      </c>
      <c r="B41" s="16">
        <v>46039</v>
      </c>
      <c r="C41" s="13" t="s">
        <v>26</v>
      </c>
      <c r="D41" s="13" t="s">
        <v>22</v>
      </c>
      <c r="E41" s="13" t="s">
        <v>56</v>
      </c>
      <c r="F41" s="13">
        <v>7</v>
      </c>
      <c r="G41" s="13" t="s">
        <v>28</v>
      </c>
      <c r="H41" s="13" t="s">
        <v>24</v>
      </c>
      <c r="I41" s="17" t="str">
        <f>VLOOKUP(E41,'Product List'!$A$4:$D$14,2,FALSE)</f>
        <v>Rice (50kg bag)</v>
      </c>
      <c r="J41" s="17" t="str">
        <f>VLOOKUP(E41,'Product List'!$A$2:$D$100,3,FALSE)</f>
        <v>Grains</v>
      </c>
      <c r="K41" s="18">
        <f>VLOOKUP(E41,'Product List'!$A$2:$D$100,4,FALSE)</f>
        <v>68000</v>
      </c>
      <c r="L41" s="17">
        <f t="shared" si="0"/>
        <v>476000</v>
      </c>
      <c r="M41" s="17" t="str">
        <f t="shared" si="2"/>
        <v>High</v>
      </c>
      <c r="N41" s="19">
        <f>SUMIF(C5:C64,"Tunde Bakare",F5:F64)</f>
        <v>185</v>
      </c>
    </row>
    <row r="42" spans="1:14">
      <c r="A42" s="13" t="s">
        <v>82</v>
      </c>
      <c r="B42" s="16">
        <v>46048</v>
      </c>
      <c r="C42" s="13" t="s">
        <v>34</v>
      </c>
      <c r="D42" s="13" t="s">
        <v>31</v>
      </c>
      <c r="E42" s="13" t="s">
        <v>67</v>
      </c>
      <c r="F42" s="13">
        <v>15</v>
      </c>
      <c r="G42" s="13" t="s">
        <v>28</v>
      </c>
      <c r="H42" s="13" t="s">
        <v>24</v>
      </c>
      <c r="I42" s="17" t="str">
        <f>VLOOKUP(E42,'Product List'!$A$4:$D$14,2,FALSE)</f>
        <v>Instant Noodles (Carton)</v>
      </c>
      <c r="J42" s="17" t="str">
        <f>VLOOKUP(E42,'Product List'!$A$2:$D$100,3,FALSE)</f>
        <v>Packaged Foods</v>
      </c>
      <c r="K42" s="18">
        <f>VLOOKUP(E42,'Product List'!$A$2:$D$100,4,FALSE)</f>
        <v>12500</v>
      </c>
      <c r="L42" s="17">
        <f t="shared" si="0"/>
        <v>187500</v>
      </c>
      <c r="M42" s="17" t="str">
        <f t="shared" si="2"/>
        <v>Low</v>
      </c>
      <c r="N42" s="19"/>
    </row>
    <row r="43" spans="1:14">
      <c r="A43" s="13" t="s">
        <v>83</v>
      </c>
      <c r="B43" s="16">
        <v>46048</v>
      </c>
      <c r="C43" s="13" t="s">
        <v>34</v>
      </c>
      <c r="D43" s="13" t="s">
        <v>17</v>
      </c>
      <c r="E43" s="13" t="s">
        <v>23</v>
      </c>
      <c r="F43" s="13">
        <v>18</v>
      </c>
      <c r="G43" s="13" t="s">
        <v>28</v>
      </c>
      <c r="H43" s="13" t="s">
        <v>36</v>
      </c>
      <c r="I43" s="17" t="str">
        <f>VLOOKUP(E43,'Product List'!$A$4:$D$14,2,FALSE)</f>
        <v>Table Salt (Carton)</v>
      </c>
      <c r="J43" s="17" t="str">
        <f>VLOOKUP(E43,'Product List'!$A$2:$D$100,3,FALSE)</f>
        <v>Cooking Essentials</v>
      </c>
      <c r="K43" s="18">
        <f>VLOOKUP(E43,'Product List'!$A$2:$D$100,4,FALSE)</f>
        <v>8500</v>
      </c>
      <c r="L43" s="17">
        <f t="shared" si="0"/>
        <v>153000</v>
      </c>
      <c r="M43" s="17" t="str">
        <f t="shared" si="2"/>
        <v>Low</v>
      </c>
      <c r="N43" s="19"/>
    </row>
    <row r="44" spans="1:14">
      <c r="A44" s="13" t="s">
        <v>84</v>
      </c>
      <c r="B44" s="16">
        <v>46063</v>
      </c>
      <c r="C44" s="13" t="s">
        <v>34</v>
      </c>
      <c r="D44" s="13" t="s">
        <v>22</v>
      </c>
      <c r="E44" s="13" t="s">
        <v>67</v>
      </c>
      <c r="F44" s="13">
        <v>11</v>
      </c>
      <c r="G44" s="13" t="s">
        <v>19</v>
      </c>
      <c r="H44" s="13" t="s">
        <v>24</v>
      </c>
      <c r="I44" s="17" t="str">
        <f>VLOOKUP(E44,'Product List'!$A$4:$D$14,2,FALSE)</f>
        <v>Instant Noodles (Carton)</v>
      </c>
      <c r="J44" s="17" t="str">
        <f>VLOOKUP(E44,'Product List'!$A$2:$D$100,3,FALSE)</f>
        <v>Packaged Foods</v>
      </c>
      <c r="K44" s="18">
        <f>VLOOKUP(E44,'Product List'!$A$2:$D$100,4,FALSE)</f>
        <v>12500</v>
      </c>
      <c r="L44" s="17">
        <f t="shared" si="0"/>
        <v>137500</v>
      </c>
      <c r="M44" s="17" t="str">
        <f t="shared" si="2"/>
        <v>Low</v>
      </c>
      <c r="N44" s="19"/>
    </row>
    <row r="45" spans="1:14">
      <c r="A45" s="13" t="s">
        <v>85</v>
      </c>
      <c r="B45" s="16">
        <v>46034</v>
      </c>
      <c r="C45" s="13" t="s">
        <v>26</v>
      </c>
      <c r="D45" s="13" t="s">
        <v>35</v>
      </c>
      <c r="E45" s="13" t="s">
        <v>56</v>
      </c>
      <c r="F45" s="13">
        <v>5</v>
      </c>
      <c r="G45" s="13" t="s">
        <v>28</v>
      </c>
      <c r="H45" s="13" t="s">
        <v>20</v>
      </c>
      <c r="I45" s="17" t="str">
        <f>VLOOKUP(E45,'Product List'!$A$4:$D$14,2,FALSE)</f>
        <v>Rice (50kg bag)</v>
      </c>
      <c r="J45" s="17" t="str">
        <f>VLOOKUP(E45,'Product List'!$A$2:$D$100,3,FALSE)</f>
        <v>Grains</v>
      </c>
      <c r="K45" s="18">
        <f>VLOOKUP(E45,'Product List'!$A$2:$D$100,4,FALSE)</f>
        <v>68000</v>
      </c>
      <c r="L45" s="17">
        <f t="shared" si="0"/>
        <v>340000</v>
      </c>
      <c r="M45" s="17" t="str">
        <f t="shared" si="2"/>
        <v>Excellent</v>
      </c>
      <c r="N45" s="22" t="s">
        <v>86</v>
      </c>
    </row>
    <row r="46" spans="1:14">
      <c r="A46" s="13" t="s">
        <v>87</v>
      </c>
      <c r="B46" s="16">
        <v>46094</v>
      </c>
      <c r="C46" s="13" t="s">
        <v>66</v>
      </c>
      <c r="D46" s="13" t="s">
        <v>17</v>
      </c>
      <c r="E46" s="13" t="s">
        <v>40</v>
      </c>
      <c r="F46" s="13">
        <v>7</v>
      </c>
      <c r="G46" s="13" t="s">
        <v>28</v>
      </c>
      <c r="H46" s="13" t="s">
        <v>24</v>
      </c>
      <c r="I46" s="17" t="str">
        <f>VLOOKUP(E46,'Product List'!$A$4:$D$14,2,FALSE)</f>
        <v>Laundry Detergent (Carton)</v>
      </c>
      <c r="J46" s="17" t="str">
        <f>VLOOKUP(E46,'Product List'!$A$2:$D$100,3,FALSE)</f>
        <v>Household</v>
      </c>
      <c r="K46" s="18">
        <f>VLOOKUP(E46,'Product List'!$A$2:$D$100,4,FALSE)</f>
        <v>21000</v>
      </c>
      <c r="L46" s="17">
        <f t="shared" si="0"/>
        <v>147000</v>
      </c>
      <c r="M46" s="17" t="str">
        <f t="shared" si="2"/>
        <v>Low</v>
      </c>
      <c r="N46" s="19">
        <f>COUNTIF(H5:H64,"Transfer")</f>
        <v>19</v>
      </c>
    </row>
    <row r="47" spans="1:14">
      <c r="A47" s="13" t="s">
        <v>88</v>
      </c>
      <c r="B47" s="16">
        <v>46103</v>
      </c>
      <c r="C47" s="13" t="s">
        <v>16</v>
      </c>
      <c r="D47" s="13" t="s">
        <v>52</v>
      </c>
      <c r="E47" s="13" t="s">
        <v>23</v>
      </c>
      <c r="F47" s="13">
        <v>9</v>
      </c>
      <c r="G47" s="13" t="s">
        <v>28</v>
      </c>
      <c r="H47" s="13" t="s">
        <v>20</v>
      </c>
      <c r="I47" s="17" t="str">
        <f>VLOOKUP(E47,'Product List'!$A$4:$D$14,2,FALSE)</f>
        <v>Table Salt (Carton)</v>
      </c>
      <c r="J47" s="17" t="str">
        <f>VLOOKUP(E47,'Product List'!$A$2:$D$100,3,FALSE)</f>
        <v>Cooking Essentials</v>
      </c>
      <c r="K47" s="18">
        <f>VLOOKUP(E47,'Product List'!$A$2:$D$100,4,FALSE)</f>
        <v>8500</v>
      </c>
      <c r="L47" s="17">
        <f t="shared" si="0"/>
        <v>76500</v>
      </c>
      <c r="M47" s="17" t="str">
        <f t="shared" si="2"/>
        <v>Excellent</v>
      </c>
      <c r="N47" s="19"/>
    </row>
    <row r="48" spans="1:14">
      <c r="A48" s="13" t="s">
        <v>89</v>
      </c>
      <c r="B48" s="16">
        <v>46058</v>
      </c>
      <c r="C48" s="13" t="s">
        <v>26</v>
      </c>
      <c r="D48" s="13" t="s">
        <v>22</v>
      </c>
      <c r="E48" s="13" t="s">
        <v>38</v>
      </c>
      <c r="F48" s="13">
        <v>28</v>
      </c>
      <c r="G48" s="13" t="s">
        <v>28</v>
      </c>
      <c r="H48" s="13" t="s">
        <v>20</v>
      </c>
      <c r="I48" s="17" t="str">
        <f>VLOOKUP(E48,'Product List'!$A$4:$D$14,2,FALSE)</f>
        <v>Beans (50kg bag)</v>
      </c>
      <c r="J48" s="17" t="str">
        <f>VLOOKUP(E48,'Product List'!$A$2:$D$100,3,FALSE)</f>
        <v>Grains</v>
      </c>
      <c r="K48" s="18">
        <f>VLOOKUP(E48,'Product List'!$A$2:$D$100,4,FALSE)</f>
        <v>62000</v>
      </c>
      <c r="L48" s="17">
        <f t="shared" si="0"/>
        <v>1736000</v>
      </c>
      <c r="M48" s="17" t="str">
        <f t="shared" si="2"/>
        <v>High</v>
      </c>
      <c r="N48" s="19"/>
    </row>
    <row r="49" spans="1:14">
      <c r="A49" s="13" t="s">
        <v>90</v>
      </c>
      <c r="B49" s="16">
        <v>46093</v>
      </c>
      <c r="C49" s="13" t="s">
        <v>63</v>
      </c>
      <c r="D49" s="13" t="s">
        <v>35</v>
      </c>
      <c r="E49" s="13" t="s">
        <v>27</v>
      </c>
      <c r="F49" s="13">
        <v>44</v>
      </c>
      <c r="G49" s="13" t="s">
        <v>28</v>
      </c>
      <c r="H49" s="13" t="s">
        <v>24</v>
      </c>
      <c r="I49" s="17" t="str">
        <f>VLOOKUP(E49,'Product List'!$A$4:$D$14,2,FALSE)</f>
        <v>Granulated Sugar (50kg)</v>
      </c>
      <c r="J49" s="17" t="str">
        <f>VLOOKUP(E49,'Product List'!$A$2:$D$100,3,FALSE)</f>
        <v>Cooking Essentials</v>
      </c>
      <c r="K49" s="18">
        <f>VLOOKUP(E49,'Product List'!$A$2:$D$100,4,FALSE)</f>
        <v>58000</v>
      </c>
      <c r="L49" s="17">
        <f t="shared" si="0"/>
        <v>2552000</v>
      </c>
      <c r="M49" s="17" t="str">
        <f t="shared" si="2"/>
        <v>Excellent</v>
      </c>
      <c r="N49" s="19"/>
    </row>
    <row r="50" spans="1:14">
      <c r="A50" s="13" t="s">
        <v>91</v>
      </c>
      <c r="B50" s="16">
        <v>46060</v>
      </c>
      <c r="C50" s="13" t="s">
        <v>34</v>
      </c>
      <c r="D50" s="13" t="s">
        <v>52</v>
      </c>
      <c r="E50" s="13" t="s">
        <v>18</v>
      </c>
      <c r="F50" s="13">
        <v>31</v>
      </c>
      <c r="G50" s="13" t="s">
        <v>19</v>
      </c>
      <c r="H50" s="13" t="s">
        <v>24</v>
      </c>
      <c r="I50" s="17" t="str">
        <f>VLOOKUP(E50,'Product List'!$A$4:$D$14,2,FALSE)</f>
        <v>Powdered Milk (Carton)</v>
      </c>
      <c r="J50" s="17" t="str">
        <f>VLOOKUP(E50,'Product List'!$A$2:$D$100,3,FALSE)</f>
        <v>Dairy</v>
      </c>
      <c r="K50" s="18">
        <f>VLOOKUP(E50,'Product List'!$A$2:$D$100,4,FALSE)</f>
        <v>32000</v>
      </c>
      <c r="L50" s="17">
        <f t="shared" si="0"/>
        <v>992000</v>
      </c>
      <c r="M50" s="17" t="str">
        <f t="shared" si="2"/>
        <v>High</v>
      </c>
      <c r="N50" s="19" t="s">
        <v>92</v>
      </c>
    </row>
    <row r="51" spans="1:14">
      <c r="A51" s="13" t="s">
        <v>93</v>
      </c>
      <c r="B51" s="16">
        <v>46028</v>
      </c>
      <c r="C51" s="13" t="s">
        <v>55</v>
      </c>
      <c r="D51" s="13" t="s">
        <v>22</v>
      </c>
      <c r="E51" s="13" t="s">
        <v>32</v>
      </c>
      <c r="F51" s="13">
        <v>8</v>
      </c>
      <c r="G51" s="13" t="s">
        <v>19</v>
      </c>
      <c r="H51" s="13" t="s">
        <v>24</v>
      </c>
      <c r="I51" s="17" t="str">
        <f>VLOOKUP(E51,'Product List'!$A$4:$D$14,2,FALSE)</f>
        <v>Bathing Soap (Carton)</v>
      </c>
      <c r="J51" s="17" t="str">
        <f>VLOOKUP(E51,'Product List'!$A$2:$D$100,3,FALSE)</f>
        <v>Household</v>
      </c>
      <c r="K51" s="18">
        <f>VLOOKUP(E51,'Product List'!$A$2:$D$100,4,FALSE)</f>
        <v>15500</v>
      </c>
      <c r="L51" s="17">
        <f t="shared" si="0"/>
        <v>124000</v>
      </c>
      <c r="M51" s="17" t="str">
        <f t="shared" si="2"/>
        <v>High</v>
      </c>
      <c r="N51" s="19">
        <f>SUMIFS(L5:L64,D5:D64,"Abuja",H5:H64,"Card")</f>
        <v>9123000</v>
      </c>
    </row>
    <row r="52" spans="1:14">
      <c r="A52" s="13" t="s">
        <v>94</v>
      </c>
      <c r="B52" s="16">
        <v>46091</v>
      </c>
      <c r="C52" s="13" t="s">
        <v>42</v>
      </c>
      <c r="D52" s="13" t="s">
        <v>52</v>
      </c>
      <c r="E52" s="13" t="s">
        <v>43</v>
      </c>
      <c r="F52" s="13">
        <v>58</v>
      </c>
      <c r="G52" s="13" t="s">
        <v>19</v>
      </c>
      <c r="H52" s="13" t="s">
        <v>24</v>
      </c>
      <c r="I52" s="17" t="str">
        <f>VLOOKUP(E52,'Product List'!$A$4:$D$14,2,FALSE)</f>
        <v>Wheat Flour (50kg)</v>
      </c>
      <c r="J52" s="17" t="str">
        <f>VLOOKUP(E52,'Product List'!$A$2:$D$100,3,FALSE)</f>
        <v>Grains</v>
      </c>
      <c r="K52" s="18">
        <f>VLOOKUP(E52,'Product List'!$A$2:$D$100,4,FALSE)</f>
        <v>41000</v>
      </c>
      <c r="L52" s="17">
        <f t="shared" si="0"/>
        <v>2378000</v>
      </c>
      <c r="M52" s="17" t="str">
        <f t="shared" si="2"/>
        <v>Excellent</v>
      </c>
      <c r="N52" s="19"/>
    </row>
    <row r="53" spans="1:14">
      <c r="A53" s="13" t="s">
        <v>95</v>
      </c>
      <c r="B53" s="16">
        <v>46074</v>
      </c>
      <c r="C53" s="13" t="s">
        <v>42</v>
      </c>
      <c r="D53" s="13" t="s">
        <v>52</v>
      </c>
      <c r="E53" s="13" t="s">
        <v>67</v>
      </c>
      <c r="F53" s="13">
        <v>55</v>
      </c>
      <c r="G53" s="13" t="s">
        <v>28</v>
      </c>
      <c r="H53" s="13" t="s">
        <v>36</v>
      </c>
      <c r="I53" s="17" t="str">
        <f>VLOOKUP(E53,'Product List'!$A$4:$D$14,2,FALSE)</f>
        <v>Instant Noodles (Carton)</v>
      </c>
      <c r="J53" s="17" t="str">
        <f>VLOOKUP(E53,'Product List'!$A$2:$D$100,3,FALSE)</f>
        <v>Packaged Foods</v>
      </c>
      <c r="K53" s="18">
        <f>VLOOKUP(E53,'Product List'!$A$2:$D$100,4,FALSE)</f>
        <v>12500</v>
      </c>
      <c r="L53" s="17">
        <f t="shared" si="0"/>
        <v>687500</v>
      </c>
      <c r="M53" s="17" t="str">
        <f t="shared" si="2"/>
        <v>Medium</v>
      </c>
      <c r="N53" s="19"/>
    </row>
    <row r="54" spans="1:14">
      <c r="A54" s="13" t="s">
        <v>96</v>
      </c>
      <c r="B54" s="16">
        <v>46105</v>
      </c>
      <c r="C54" s="13" t="s">
        <v>26</v>
      </c>
      <c r="D54" s="13" t="s">
        <v>22</v>
      </c>
      <c r="E54" s="13" t="s">
        <v>18</v>
      </c>
      <c r="F54" s="13">
        <v>44</v>
      </c>
      <c r="G54" s="13" t="s">
        <v>19</v>
      </c>
      <c r="H54" s="13" t="s">
        <v>24</v>
      </c>
      <c r="I54" s="17" t="str">
        <f>VLOOKUP(E54,'Product List'!$A$4:$D$14,2,FALSE)</f>
        <v>Powdered Milk (Carton)</v>
      </c>
      <c r="J54" s="17" t="str">
        <f>VLOOKUP(E54,'Product List'!$A$2:$D$100,3,FALSE)</f>
        <v>Dairy</v>
      </c>
      <c r="K54" s="18">
        <f>VLOOKUP(E54,'Product List'!$A$2:$D$100,4,FALSE)</f>
        <v>32000</v>
      </c>
      <c r="L54" s="17">
        <f t="shared" si="0"/>
        <v>1408000</v>
      </c>
      <c r="M54" s="17" t="str">
        <f t="shared" si="2"/>
        <v>Low</v>
      </c>
      <c r="N54" s="19"/>
    </row>
    <row r="55" spans="1:14">
      <c r="A55" s="13" t="s">
        <v>97</v>
      </c>
      <c r="B55" s="16">
        <v>46060</v>
      </c>
      <c r="C55" s="13" t="s">
        <v>16</v>
      </c>
      <c r="D55" s="13" t="s">
        <v>17</v>
      </c>
      <c r="E55" s="13" t="s">
        <v>40</v>
      </c>
      <c r="F55" s="13">
        <v>11</v>
      </c>
      <c r="G55" s="13" t="s">
        <v>19</v>
      </c>
      <c r="H55" s="13" t="s">
        <v>20</v>
      </c>
      <c r="I55" s="17" t="str">
        <f>VLOOKUP(E55,'Product List'!$A$4:$D$14,2,FALSE)</f>
        <v>Laundry Detergent (Carton)</v>
      </c>
      <c r="J55" s="17" t="str">
        <f>VLOOKUP(E55,'Product List'!$A$2:$D$100,3,FALSE)</f>
        <v>Household</v>
      </c>
      <c r="K55" s="18">
        <f>VLOOKUP(E55,'Product List'!$A$2:$D$100,4,FALSE)</f>
        <v>21000</v>
      </c>
      <c r="L55" s="17">
        <f t="shared" si="0"/>
        <v>231000</v>
      </c>
      <c r="M55" s="17" t="str">
        <f t="shared" si="2"/>
        <v>Low</v>
      </c>
      <c r="N55" s="19" t="s">
        <v>98</v>
      </c>
    </row>
    <row r="56" spans="1:14">
      <c r="A56" s="13" t="s">
        <v>99</v>
      </c>
      <c r="B56" s="16">
        <v>46053</v>
      </c>
      <c r="C56" s="13" t="s">
        <v>63</v>
      </c>
      <c r="D56" s="13" t="s">
        <v>52</v>
      </c>
      <c r="E56" s="13" t="s">
        <v>18</v>
      </c>
      <c r="F56" s="13">
        <v>34</v>
      </c>
      <c r="G56" s="13" t="s">
        <v>28</v>
      </c>
      <c r="H56" s="13" t="s">
        <v>24</v>
      </c>
      <c r="I56" s="17" t="str">
        <f>VLOOKUP(E56,'Product List'!$A$4:$D$14,2,FALSE)</f>
        <v>Powdered Milk (Carton)</v>
      </c>
      <c r="J56" s="17" t="str">
        <f>VLOOKUP(E56,'Product List'!$A$2:$D$100,3,FALSE)</f>
        <v>Dairy</v>
      </c>
      <c r="K56" s="18">
        <f>VLOOKUP(E56,'Product List'!$A$2:$D$100,4,FALSE)</f>
        <v>32000</v>
      </c>
      <c r="L56" s="17">
        <f t="shared" si="0"/>
        <v>1088000</v>
      </c>
      <c r="M56" s="17" t="str">
        <f t="shared" si="2"/>
        <v>High</v>
      </c>
      <c r="N56" s="19">
        <f>COUNTIFS(D5:D64,"Kano",G5:G64,"New")</f>
        <v>6</v>
      </c>
    </row>
    <row r="57" spans="1:14">
      <c r="A57" s="13" t="s">
        <v>100</v>
      </c>
      <c r="B57" s="16">
        <v>46038</v>
      </c>
      <c r="C57" s="13" t="s">
        <v>34</v>
      </c>
      <c r="D57" s="13" t="s">
        <v>35</v>
      </c>
      <c r="E57" s="13" t="s">
        <v>56</v>
      </c>
      <c r="F57" s="13">
        <v>2</v>
      </c>
      <c r="G57" s="13" t="s">
        <v>19</v>
      </c>
      <c r="H57" s="13" t="s">
        <v>24</v>
      </c>
      <c r="I57" s="17" t="str">
        <f>VLOOKUP(E57,'Product List'!$A$4:$D$14,2,FALSE)</f>
        <v>Rice (50kg bag)</v>
      </c>
      <c r="J57" s="17" t="str">
        <f>VLOOKUP(E57,'Product List'!$A$2:$D$100,3,FALSE)</f>
        <v>Grains</v>
      </c>
      <c r="K57" s="18">
        <f>VLOOKUP(E57,'Product List'!$A$2:$D$100,4,FALSE)</f>
        <v>68000</v>
      </c>
      <c r="L57" s="17">
        <f t="shared" si="0"/>
        <v>136000</v>
      </c>
      <c r="M57" s="17" t="str">
        <f t="shared" si="2"/>
        <v>Medium</v>
      </c>
      <c r="N57" s="19"/>
    </row>
    <row r="58" spans="1:14">
      <c r="A58" s="13" t="s">
        <v>101</v>
      </c>
      <c r="B58" s="16">
        <v>46108</v>
      </c>
      <c r="C58" s="13" t="s">
        <v>42</v>
      </c>
      <c r="D58" s="13" t="s">
        <v>52</v>
      </c>
      <c r="E58" s="13" t="s">
        <v>67</v>
      </c>
      <c r="F58" s="13">
        <v>37</v>
      </c>
      <c r="G58" s="13" t="s">
        <v>28</v>
      </c>
      <c r="H58" s="13" t="s">
        <v>20</v>
      </c>
      <c r="I58" s="17" t="str">
        <f>VLOOKUP(E58,'Product List'!$A$4:$D$14,2,FALSE)</f>
        <v>Instant Noodles (Carton)</v>
      </c>
      <c r="J58" s="17" t="str">
        <f>VLOOKUP(E58,'Product List'!$A$2:$D$100,3,FALSE)</f>
        <v>Packaged Foods</v>
      </c>
      <c r="K58" s="18">
        <f>VLOOKUP(E58,'Product List'!$A$2:$D$100,4,FALSE)</f>
        <v>12500</v>
      </c>
      <c r="L58" s="17">
        <f t="shared" si="0"/>
        <v>462500</v>
      </c>
      <c r="M58" s="17" t="str">
        <f t="shared" si="2"/>
        <v>Low</v>
      </c>
      <c r="N58" s="19"/>
    </row>
    <row r="59" spans="1:14">
      <c r="A59" s="13" t="s">
        <v>102</v>
      </c>
      <c r="B59" s="16">
        <v>46028</v>
      </c>
      <c r="C59" s="13" t="s">
        <v>16</v>
      </c>
      <c r="D59" s="13" t="s">
        <v>17</v>
      </c>
      <c r="E59" s="13" t="s">
        <v>47</v>
      </c>
      <c r="F59" s="13">
        <v>36</v>
      </c>
      <c r="G59" s="13" t="s">
        <v>19</v>
      </c>
      <c r="H59" s="13" t="s">
        <v>36</v>
      </c>
      <c r="I59" s="17" t="str">
        <f>VLOOKUP(E59,'Product List'!$A$4:$D$14,2,FALSE)</f>
        <v>Vegetable Oil (25L)</v>
      </c>
      <c r="J59" s="17" t="str">
        <f>VLOOKUP(E59,'Product List'!$A$2:$D$100,3,FALSE)</f>
        <v>Cooking Essentials</v>
      </c>
      <c r="K59" s="18">
        <f>VLOOKUP(E59,'Product List'!$A$2:$D$100,4,FALSE)</f>
        <v>45000</v>
      </c>
      <c r="L59" s="17">
        <f t="shared" si="0"/>
        <v>1620000</v>
      </c>
      <c r="M59" s="17" t="str">
        <f t="shared" si="2"/>
        <v>Excellent</v>
      </c>
      <c r="N59" s="19"/>
    </row>
    <row r="60" spans="1:14">
      <c r="A60" s="13" t="s">
        <v>103</v>
      </c>
      <c r="B60" s="16">
        <v>46101</v>
      </c>
      <c r="C60" s="13" t="s">
        <v>66</v>
      </c>
      <c r="D60" s="13" t="s">
        <v>31</v>
      </c>
      <c r="E60" s="13" t="s">
        <v>47</v>
      </c>
      <c r="F60" s="13">
        <v>4</v>
      </c>
      <c r="G60" s="13" t="s">
        <v>19</v>
      </c>
      <c r="H60" s="13" t="s">
        <v>24</v>
      </c>
      <c r="I60" s="17" t="str">
        <f>VLOOKUP(E60,'Product List'!$A$4:$D$14,2,FALSE)</f>
        <v>Vegetable Oil (25L)</v>
      </c>
      <c r="J60" s="17" t="str">
        <f>VLOOKUP(E60,'Product List'!$A$2:$D$100,3,FALSE)</f>
        <v>Cooking Essentials</v>
      </c>
      <c r="K60" s="18">
        <f>VLOOKUP(E60,'Product List'!$A$2:$D$100,4,FALSE)</f>
        <v>45000</v>
      </c>
      <c r="L60" s="17">
        <f t="shared" si="0"/>
        <v>180000</v>
      </c>
      <c r="M60" s="17" t="str">
        <f t="shared" si="2"/>
        <v>Excellent</v>
      </c>
      <c r="N60" s="19" t="s">
        <v>104</v>
      </c>
    </row>
    <row r="61" spans="1:14">
      <c r="A61" s="13" t="s">
        <v>105</v>
      </c>
      <c r="B61" s="16">
        <v>46072</v>
      </c>
      <c r="C61" s="13" t="s">
        <v>30</v>
      </c>
      <c r="D61" s="13" t="s">
        <v>52</v>
      </c>
      <c r="E61" s="13" t="s">
        <v>38</v>
      </c>
      <c r="F61" s="13">
        <v>24</v>
      </c>
      <c r="G61" s="13" t="s">
        <v>28</v>
      </c>
      <c r="H61" s="13" t="s">
        <v>36</v>
      </c>
      <c r="I61" s="17" t="str">
        <f>VLOOKUP(E61,'Product List'!$A$4:$D$14,2,FALSE)</f>
        <v>Beans (50kg bag)</v>
      </c>
      <c r="J61" s="17" t="str">
        <f>VLOOKUP(E61,'Product List'!$A$2:$D$100,3,FALSE)</f>
        <v>Grains</v>
      </c>
      <c r="K61" s="18">
        <f>VLOOKUP(E61,'Product List'!$A$2:$D$100,4,FALSE)</f>
        <v>62000</v>
      </c>
      <c r="L61" s="17">
        <f t="shared" si="0"/>
        <v>1488000</v>
      </c>
      <c r="M61" s="17" t="str">
        <f t="shared" si="2"/>
        <v>Excellent</v>
      </c>
      <c r="N61" s="19" t="b">
        <f>AND(D5="Lagos",G5="Returning")</f>
        <v>0</v>
      </c>
    </row>
    <row r="62" spans="1:14">
      <c r="A62" s="13" t="s">
        <v>106</v>
      </c>
      <c r="B62" s="16">
        <v>46106</v>
      </c>
      <c r="C62" s="13" t="s">
        <v>66</v>
      </c>
      <c r="D62" s="13" t="s">
        <v>52</v>
      </c>
      <c r="E62" s="13" t="s">
        <v>47</v>
      </c>
      <c r="F62" s="13">
        <v>53</v>
      </c>
      <c r="G62" s="13" t="s">
        <v>28</v>
      </c>
      <c r="H62" s="13" t="s">
        <v>36</v>
      </c>
      <c r="I62" s="17" t="str">
        <f>VLOOKUP(E62,'Product List'!$A$4:$D$14,2,FALSE)</f>
        <v>Vegetable Oil (25L)</v>
      </c>
      <c r="J62" s="17" t="str">
        <f>VLOOKUP(E62,'Product List'!$A$2:$D$100,3,FALSE)</f>
        <v>Cooking Essentials</v>
      </c>
      <c r="K62" s="18">
        <f>VLOOKUP(E62,'Product List'!$A$2:$D$100,4,FALSE)</f>
        <v>45000</v>
      </c>
      <c r="L62" s="17">
        <f t="shared" si="0"/>
        <v>2385000</v>
      </c>
      <c r="M62" s="17" t="str">
        <f t="shared" si="2"/>
        <v>Medium</v>
      </c>
      <c r="N62" s="19"/>
    </row>
    <row r="63" spans="1:14">
      <c r="A63" s="13" t="s">
        <v>107</v>
      </c>
      <c r="B63" s="16">
        <v>46030</v>
      </c>
      <c r="C63" s="13" t="s">
        <v>66</v>
      </c>
      <c r="D63" s="13" t="s">
        <v>35</v>
      </c>
      <c r="E63" s="13" t="s">
        <v>23</v>
      </c>
      <c r="F63" s="13">
        <v>53</v>
      </c>
      <c r="G63" s="13" t="s">
        <v>28</v>
      </c>
      <c r="H63" s="13" t="s">
        <v>20</v>
      </c>
      <c r="I63" s="17" t="str">
        <f>VLOOKUP(E63,'Product List'!$A$4:$D$14,2,FALSE)</f>
        <v>Table Salt (Carton)</v>
      </c>
      <c r="J63" s="17" t="str">
        <f>VLOOKUP(E63,'Product List'!$A$2:$D$100,3,FALSE)</f>
        <v>Cooking Essentials</v>
      </c>
      <c r="K63" s="18">
        <f>VLOOKUP(E63,'Product List'!$A$2:$D$100,4,FALSE)</f>
        <v>8500</v>
      </c>
      <c r="L63" s="17">
        <f t="shared" si="0"/>
        <v>450500</v>
      </c>
      <c r="M63" s="17" t="str">
        <f t="shared" si="2"/>
        <v>Low</v>
      </c>
    </row>
    <row r="64" spans="1:14">
      <c r="A64" s="13" t="s">
        <v>108</v>
      </c>
      <c r="B64" s="16">
        <v>46058</v>
      </c>
      <c r="C64" s="13" t="s">
        <v>42</v>
      </c>
      <c r="D64" s="13" t="s">
        <v>52</v>
      </c>
      <c r="E64" s="13" t="s">
        <v>38</v>
      </c>
      <c r="F64" s="13">
        <v>26</v>
      </c>
      <c r="G64" s="13" t="s">
        <v>28</v>
      </c>
      <c r="H64" s="13" t="s">
        <v>36</v>
      </c>
      <c r="I64" s="17" t="str">
        <f>VLOOKUP(E64,'Product List'!$A$4:$D$14,2,FALSE)</f>
        <v>Beans (50kg bag)</v>
      </c>
      <c r="J64" s="17" t="str">
        <f>VLOOKUP(E64,'Product List'!$A$2:$D$100,3,FALSE)</f>
        <v>Grains</v>
      </c>
      <c r="K64" s="18">
        <f>VLOOKUP(E64,'Product List'!$A$2:$D$100,4,FALSE)</f>
        <v>62000</v>
      </c>
      <c r="L64" s="17">
        <f t="shared" si="0"/>
        <v>1612000</v>
      </c>
      <c r="M64" s="17" t="str">
        <f t="shared" si="2"/>
        <v>Low</v>
      </c>
    </row>
    <row r="67" spans="2:18">
      <c r="B67" s="20"/>
      <c r="E67" s="20"/>
      <c r="H67" s="20"/>
      <c r="K67" s="20"/>
      <c r="N67" s="20"/>
      <c r="R67" s="2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sqref="A1:D22"/>
    </sheetView>
  </sheetViews>
  <sheetFormatPr defaultColWidth="8.7109375" defaultRowHeight="15"/>
  <cols>
    <col min="1" max="1" width="68.7109375" customWidth="1"/>
    <col min="2" max="2" width="27" customWidth="1"/>
    <col min="3" max="3" width="19.140625" customWidth="1"/>
    <col min="4" max="4" width="14.7109375" customWidth="1"/>
  </cols>
  <sheetData>
    <row r="1" spans="1:4" ht="18">
      <c r="A1" s="6" t="s">
        <v>109</v>
      </c>
    </row>
    <row r="2" spans="1:4">
      <c r="A2" s="7" t="s">
        <v>110</v>
      </c>
    </row>
    <row r="4" spans="1:4">
      <c r="A4" s="12" t="s">
        <v>6</v>
      </c>
      <c r="B4" s="12" t="s">
        <v>10</v>
      </c>
      <c r="C4" s="12" t="s">
        <v>11</v>
      </c>
      <c r="D4" s="12" t="s">
        <v>12</v>
      </c>
    </row>
    <row r="5" spans="1:4">
      <c r="A5" s="13" t="s">
        <v>56</v>
      </c>
      <c r="B5" s="13" t="s">
        <v>111</v>
      </c>
      <c r="C5" s="13" t="s">
        <v>112</v>
      </c>
      <c r="D5" s="13">
        <v>68000</v>
      </c>
    </row>
    <row r="6" spans="1:4">
      <c r="A6" s="13" t="s">
        <v>38</v>
      </c>
      <c r="B6" s="13" t="s">
        <v>113</v>
      </c>
      <c r="C6" s="13" t="s">
        <v>112</v>
      </c>
      <c r="D6" s="13">
        <v>62000</v>
      </c>
    </row>
    <row r="7" spans="1:4">
      <c r="A7" s="13" t="s">
        <v>47</v>
      </c>
      <c r="B7" s="13" t="s">
        <v>114</v>
      </c>
      <c r="C7" s="13" t="s">
        <v>115</v>
      </c>
      <c r="D7" s="13">
        <v>45000</v>
      </c>
    </row>
    <row r="8" spans="1:4">
      <c r="A8" s="13" t="s">
        <v>27</v>
      </c>
      <c r="B8" s="13" t="s">
        <v>116</v>
      </c>
      <c r="C8" s="13" t="s">
        <v>115</v>
      </c>
      <c r="D8" s="13">
        <v>58000</v>
      </c>
    </row>
    <row r="9" spans="1:4">
      <c r="A9" s="13" t="s">
        <v>18</v>
      </c>
      <c r="B9" s="13" t="s">
        <v>117</v>
      </c>
      <c r="C9" s="13" t="s">
        <v>118</v>
      </c>
      <c r="D9" s="13">
        <v>32000</v>
      </c>
    </row>
    <row r="10" spans="1:4">
      <c r="A10" s="13" t="s">
        <v>43</v>
      </c>
      <c r="B10" s="13" t="s">
        <v>119</v>
      </c>
      <c r="C10" s="13" t="s">
        <v>112</v>
      </c>
      <c r="D10" s="13">
        <v>41000</v>
      </c>
    </row>
    <row r="11" spans="1:4">
      <c r="A11" s="13" t="s">
        <v>23</v>
      </c>
      <c r="B11" s="13" t="s">
        <v>120</v>
      </c>
      <c r="C11" s="13" t="s">
        <v>115</v>
      </c>
      <c r="D11" s="13">
        <v>8500</v>
      </c>
    </row>
    <row r="12" spans="1:4">
      <c r="A12" s="13" t="s">
        <v>67</v>
      </c>
      <c r="B12" s="13" t="s">
        <v>121</v>
      </c>
      <c r="C12" s="13" t="s">
        <v>122</v>
      </c>
      <c r="D12" s="13">
        <v>12500</v>
      </c>
    </row>
    <row r="13" spans="1:4">
      <c r="A13" s="13" t="s">
        <v>40</v>
      </c>
      <c r="B13" s="13" t="s">
        <v>123</v>
      </c>
      <c r="C13" s="13" t="s">
        <v>124</v>
      </c>
      <c r="D13" s="13">
        <v>21000</v>
      </c>
    </row>
    <row r="14" spans="1:4">
      <c r="A14" s="13" t="s">
        <v>32</v>
      </c>
      <c r="B14" s="13" t="s">
        <v>125</v>
      </c>
      <c r="C14" s="13" t="s">
        <v>124</v>
      </c>
      <c r="D14" s="13">
        <v>15500</v>
      </c>
    </row>
    <row r="17" spans="1:2">
      <c r="A17" s="14" t="s">
        <v>126</v>
      </c>
    </row>
    <row r="18" spans="1:2">
      <c r="A18" s="15" t="s">
        <v>13</v>
      </c>
      <c r="B18" s="15" t="s">
        <v>127</v>
      </c>
    </row>
    <row r="19" spans="1:2">
      <c r="A19" s="13" t="s">
        <v>128</v>
      </c>
      <c r="B19" s="13" t="s">
        <v>129</v>
      </c>
    </row>
    <row r="20" spans="1:2">
      <c r="A20" s="13" t="s">
        <v>130</v>
      </c>
      <c r="B20" s="13" t="s">
        <v>131</v>
      </c>
    </row>
    <row r="21" spans="1:2">
      <c r="A21" s="13" t="s">
        <v>132</v>
      </c>
      <c r="B21" s="13" t="s">
        <v>133</v>
      </c>
    </row>
    <row r="22" spans="1:2">
      <c r="A22" s="13" t="s">
        <v>134</v>
      </c>
      <c r="B22" s="13" t="s">
        <v>135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pane ySplit="4" topLeftCell="A5" activePane="bottomLeft" state="frozen"/>
      <selection pane="bottomLeft"/>
    </sheetView>
  </sheetViews>
  <sheetFormatPr defaultColWidth="8.7109375" defaultRowHeight="15"/>
  <cols>
    <col min="1" max="1" width="6" customWidth="1"/>
    <col min="2" max="2" width="70" customWidth="1"/>
    <col min="3" max="3" width="20" customWidth="1"/>
    <col min="4" max="4" width="28" customWidth="1"/>
  </cols>
  <sheetData>
    <row r="1" spans="1:4" ht="18">
      <c r="A1" s="6" t="s">
        <v>136</v>
      </c>
    </row>
    <row r="2" spans="1:4">
      <c r="A2" s="21" t="s">
        <v>137</v>
      </c>
      <c r="B2" s="21"/>
      <c r="C2" s="21"/>
      <c r="D2" s="21"/>
    </row>
    <row r="4" spans="1:4">
      <c r="A4" s="8" t="s">
        <v>138</v>
      </c>
      <c r="B4" s="8" t="s">
        <v>139</v>
      </c>
      <c r="C4" s="8" t="s">
        <v>140</v>
      </c>
      <c r="D4" s="8" t="s">
        <v>141</v>
      </c>
    </row>
    <row r="5" spans="1:4" ht="45.75" customHeight="1">
      <c r="A5" s="9">
        <v>1</v>
      </c>
      <c r="B5" s="10" t="s">
        <v>142</v>
      </c>
      <c r="C5" s="10" t="s">
        <v>143</v>
      </c>
      <c r="D5" s="11"/>
    </row>
    <row r="6" spans="1:4" ht="45.75" customHeight="1">
      <c r="A6" s="9">
        <v>2</v>
      </c>
      <c r="B6" s="10" t="s">
        <v>144</v>
      </c>
      <c r="C6" s="10" t="s">
        <v>145</v>
      </c>
      <c r="D6" s="11"/>
    </row>
    <row r="7" spans="1:4" ht="45.75" customHeight="1">
      <c r="A7" s="9">
        <v>3</v>
      </c>
      <c r="B7" s="10" t="s">
        <v>146</v>
      </c>
      <c r="C7" s="10" t="s">
        <v>147</v>
      </c>
      <c r="D7" s="11"/>
    </row>
    <row r="8" spans="1:4" ht="45.75" customHeight="1">
      <c r="A8" s="9">
        <v>4</v>
      </c>
      <c r="B8" s="10" t="s">
        <v>148</v>
      </c>
      <c r="C8" s="10" t="s">
        <v>149</v>
      </c>
      <c r="D8" s="11"/>
    </row>
    <row r="9" spans="1:4" ht="45.75" customHeight="1">
      <c r="A9" s="9">
        <v>5</v>
      </c>
      <c r="B9" s="10" t="s">
        <v>150</v>
      </c>
      <c r="C9" s="10" t="s">
        <v>149</v>
      </c>
      <c r="D9" s="11"/>
    </row>
    <row r="10" spans="1:4" ht="45.75" customHeight="1">
      <c r="A10" s="9">
        <v>6</v>
      </c>
      <c r="B10" s="10" t="s">
        <v>151</v>
      </c>
      <c r="C10" s="10" t="s">
        <v>152</v>
      </c>
      <c r="D10" s="11"/>
    </row>
    <row r="11" spans="1:4" ht="45.75" customHeight="1">
      <c r="A11" s="9">
        <v>7</v>
      </c>
      <c r="B11" s="10" t="s">
        <v>153</v>
      </c>
      <c r="C11" s="10" t="s">
        <v>154</v>
      </c>
      <c r="D11" s="11"/>
    </row>
    <row r="12" spans="1:4" ht="45.75" customHeight="1">
      <c r="A12" s="9">
        <v>8</v>
      </c>
      <c r="B12" s="10" t="s">
        <v>155</v>
      </c>
      <c r="C12" s="10" t="s">
        <v>156</v>
      </c>
      <c r="D12" s="11"/>
    </row>
    <row r="13" spans="1:4" ht="45.75" customHeight="1">
      <c r="A13" s="9">
        <v>9</v>
      </c>
      <c r="B13" s="10" t="s">
        <v>157</v>
      </c>
      <c r="C13" s="10" t="s">
        <v>158</v>
      </c>
      <c r="D13" s="11"/>
    </row>
    <row r="14" spans="1:4" ht="45.75" customHeight="1">
      <c r="A14" s="9">
        <v>10</v>
      </c>
      <c r="B14" s="10" t="s">
        <v>159</v>
      </c>
      <c r="C14" s="10" t="s">
        <v>160</v>
      </c>
      <c r="D14" s="11"/>
    </row>
  </sheetData>
  <mergeCells count="1">
    <mergeCell ref="A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54"/>
  <sheetViews>
    <sheetView workbookViewId="0">
      <selection activeCell="H24" sqref="H24"/>
    </sheetView>
  </sheetViews>
  <sheetFormatPr defaultColWidth="9" defaultRowHeight="15"/>
  <cols>
    <col min="1" max="1" width="25.7109375" customWidth="1"/>
    <col min="2" max="2" width="20.5703125" customWidth="1"/>
    <col min="4" max="4" width="16.5703125" customWidth="1"/>
    <col min="5" max="5" width="20.5703125" customWidth="1"/>
    <col min="6" max="6" width="16.7109375" customWidth="1"/>
    <col min="8" max="8" width="17.5703125" customWidth="1"/>
    <col min="9" max="9" width="20.5703125" customWidth="1"/>
    <col min="10" max="11" width="16.28515625" customWidth="1"/>
    <col min="12" max="12" width="13.140625" customWidth="1"/>
    <col min="13" max="13" width="20.5703125" customWidth="1"/>
    <col min="14" max="67" width="16.28515625" customWidth="1"/>
    <col min="68" max="68" width="11.28515625" customWidth="1"/>
  </cols>
  <sheetData>
    <row r="3" spans="1:13">
      <c r="A3" s="1" t="s">
        <v>161</v>
      </c>
      <c r="D3" s="1" t="s">
        <v>162</v>
      </c>
      <c r="F3" s="1" t="s">
        <v>163</v>
      </c>
      <c r="H3" t="s">
        <v>164</v>
      </c>
      <c r="I3" t="s">
        <v>161</v>
      </c>
    </row>
    <row r="4" spans="1:13">
      <c r="A4" s="2">
        <v>65304500</v>
      </c>
      <c r="D4" s="2">
        <v>60</v>
      </c>
      <c r="F4" s="2">
        <v>1775</v>
      </c>
      <c r="H4" s="3" t="s">
        <v>52</v>
      </c>
      <c r="I4" s="4">
        <v>20835000</v>
      </c>
      <c r="L4" t="s">
        <v>164</v>
      </c>
      <c r="M4" t="s">
        <v>161</v>
      </c>
    </row>
    <row r="5" spans="1:13">
      <c r="H5" s="3" t="s">
        <v>22</v>
      </c>
      <c r="I5" s="4">
        <v>18394000</v>
      </c>
      <c r="L5" s="3" t="s">
        <v>42</v>
      </c>
      <c r="M5" s="4">
        <v>15862000</v>
      </c>
    </row>
    <row r="6" spans="1:13">
      <c r="H6" s="3" t="s">
        <v>35</v>
      </c>
      <c r="I6" s="4">
        <v>12123500</v>
      </c>
      <c r="L6" s="3" t="s">
        <v>30</v>
      </c>
      <c r="M6" s="4">
        <v>13624500</v>
      </c>
    </row>
    <row r="7" spans="1:13">
      <c r="H7" s="3" t="s">
        <v>17</v>
      </c>
      <c r="I7" s="4">
        <v>10016000</v>
      </c>
      <c r="L7" s="3" t="s">
        <v>26</v>
      </c>
      <c r="M7" s="4">
        <v>9253000</v>
      </c>
    </row>
    <row r="8" spans="1:13">
      <c r="H8" s="3" t="s">
        <v>31</v>
      </c>
      <c r="I8" s="4">
        <v>3936000</v>
      </c>
      <c r="L8" s="3" t="s">
        <v>55</v>
      </c>
      <c r="M8" s="4">
        <v>6522500</v>
      </c>
    </row>
    <row r="9" spans="1:13">
      <c r="A9" t="s">
        <v>164</v>
      </c>
      <c r="B9" t="s">
        <v>163</v>
      </c>
      <c r="D9" t="s">
        <v>164</v>
      </c>
      <c r="E9" t="s">
        <v>161</v>
      </c>
      <c r="H9" s="3" t="s">
        <v>165</v>
      </c>
      <c r="I9" s="4">
        <v>65304500</v>
      </c>
      <c r="L9" s="3" t="s">
        <v>34</v>
      </c>
      <c r="M9" s="4">
        <v>6144000</v>
      </c>
    </row>
    <row r="10" spans="1:13">
      <c r="A10" s="3" t="s">
        <v>52</v>
      </c>
      <c r="B10" s="4">
        <v>633</v>
      </c>
      <c r="D10" s="5">
        <v>46027</v>
      </c>
      <c r="E10" s="4">
        <v>2142000</v>
      </c>
      <c r="L10" s="3" t="s">
        <v>16</v>
      </c>
      <c r="M10" s="4">
        <v>6021500</v>
      </c>
    </row>
    <row r="11" spans="1:13">
      <c r="A11" s="3" t="s">
        <v>22</v>
      </c>
      <c r="B11" s="4">
        <v>401</v>
      </c>
      <c r="D11" s="5">
        <v>46028</v>
      </c>
      <c r="E11" s="4">
        <v>1744000</v>
      </c>
      <c r="L11" s="3" t="s">
        <v>63</v>
      </c>
      <c r="M11" s="4">
        <v>4252000</v>
      </c>
    </row>
    <row r="12" spans="1:13">
      <c r="A12" s="3" t="s">
        <v>35</v>
      </c>
      <c r="B12" s="4">
        <v>347</v>
      </c>
      <c r="D12" s="5">
        <v>46030</v>
      </c>
      <c r="E12" s="4">
        <v>450500</v>
      </c>
      <c r="L12" s="3" t="s">
        <v>66</v>
      </c>
      <c r="M12" s="4">
        <v>3625000</v>
      </c>
    </row>
    <row r="13" spans="1:13">
      <c r="A13" s="3" t="s">
        <v>17</v>
      </c>
      <c r="B13" s="4">
        <v>244</v>
      </c>
      <c r="D13" s="5">
        <v>46032</v>
      </c>
      <c r="E13" s="4">
        <v>3472000</v>
      </c>
      <c r="H13" t="s">
        <v>164</v>
      </c>
      <c r="I13" t="s">
        <v>161</v>
      </c>
      <c r="L13" s="3" t="s">
        <v>165</v>
      </c>
      <c r="M13" s="4">
        <v>65304500</v>
      </c>
    </row>
    <row r="14" spans="1:13">
      <c r="A14" s="3" t="s">
        <v>31</v>
      </c>
      <c r="B14" s="4">
        <v>150</v>
      </c>
      <c r="D14" s="5">
        <v>46033</v>
      </c>
      <c r="E14" s="4">
        <v>408000</v>
      </c>
      <c r="H14" s="3" t="s">
        <v>115</v>
      </c>
      <c r="I14" s="4">
        <v>19842000</v>
      </c>
    </row>
    <row r="15" spans="1:13">
      <c r="A15" s="3" t="s">
        <v>165</v>
      </c>
      <c r="B15" s="4">
        <v>1775</v>
      </c>
      <c r="D15" s="5">
        <v>46034</v>
      </c>
      <c r="E15" s="4">
        <v>340000</v>
      </c>
      <c r="H15" s="3" t="s">
        <v>118</v>
      </c>
      <c r="I15" s="4">
        <v>4384000</v>
      </c>
    </row>
    <row r="16" spans="1:13">
      <c r="D16" s="5">
        <v>46035</v>
      </c>
      <c r="E16" s="4">
        <v>2570500</v>
      </c>
      <c r="H16" s="3" t="s">
        <v>112</v>
      </c>
      <c r="I16" s="4">
        <v>34631000</v>
      </c>
    </row>
    <row r="17" spans="1:9">
      <c r="D17" s="5">
        <v>46037</v>
      </c>
      <c r="E17" s="4">
        <v>1558000</v>
      </c>
      <c r="H17" s="3" t="s">
        <v>124</v>
      </c>
      <c r="I17" s="4">
        <v>3110000</v>
      </c>
    </row>
    <row r="18" spans="1:9">
      <c r="D18" s="5">
        <v>46038</v>
      </c>
      <c r="E18" s="4">
        <v>136000</v>
      </c>
      <c r="H18" s="3" t="s">
        <v>122</v>
      </c>
      <c r="I18" s="4">
        <v>3337500</v>
      </c>
    </row>
    <row r="19" spans="1:9">
      <c r="A19" t="s">
        <v>164</v>
      </c>
      <c r="B19" t="s">
        <v>161</v>
      </c>
      <c r="D19" s="5">
        <v>46039</v>
      </c>
      <c r="E19" s="4">
        <v>714000</v>
      </c>
      <c r="H19" s="3" t="s">
        <v>165</v>
      </c>
      <c r="I19" s="4">
        <v>65304500</v>
      </c>
    </row>
    <row r="20" spans="1:9">
      <c r="A20" s="3" t="s">
        <v>113</v>
      </c>
      <c r="B20" s="4">
        <v>19530000</v>
      </c>
      <c r="D20" s="5">
        <v>46040</v>
      </c>
      <c r="E20" s="4">
        <v>1522000</v>
      </c>
    </row>
    <row r="21" spans="1:9">
      <c r="A21" s="3" t="s">
        <v>114</v>
      </c>
      <c r="B21" s="4">
        <v>9495000</v>
      </c>
      <c r="D21" s="5">
        <v>46045</v>
      </c>
      <c r="E21" s="4">
        <v>2842000</v>
      </c>
    </row>
    <row r="22" spans="1:9">
      <c r="A22" s="3" t="s">
        <v>111</v>
      </c>
      <c r="B22" s="4">
        <v>8500000</v>
      </c>
      <c r="D22" s="5">
        <v>46047</v>
      </c>
      <c r="E22" s="4">
        <v>1964000</v>
      </c>
    </row>
    <row r="23" spans="1:9">
      <c r="A23" s="3" t="s">
        <v>116</v>
      </c>
      <c r="B23" s="4">
        <v>8120000</v>
      </c>
      <c r="D23" s="5">
        <v>46048</v>
      </c>
      <c r="E23" s="4">
        <v>340500</v>
      </c>
    </row>
    <row r="24" spans="1:9">
      <c r="A24" s="3" t="s">
        <v>119</v>
      </c>
      <c r="B24" s="4">
        <v>6601000</v>
      </c>
      <c r="D24" s="5">
        <v>46053</v>
      </c>
      <c r="E24" s="4">
        <v>1088000</v>
      </c>
    </row>
    <row r="25" spans="1:9">
      <c r="A25" s="3" t="s">
        <v>117</v>
      </c>
      <c r="B25" s="4">
        <v>4384000</v>
      </c>
      <c r="D25" s="5">
        <v>46056</v>
      </c>
      <c r="E25" s="4">
        <v>2887500</v>
      </c>
    </row>
    <row r="26" spans="1:9">
      <c r="A26" s="3" t="s">
        <v>121</v>
      </c>
      <c r="B26" s="4">
        <v>3337500</v>
      </c>
      <c r="D26" s="5">
        <v>46057</v>
      </c>
      <c r="E26" s="4">
        <v>108500</v>
      </c>
    </row>
    <row r="27" spans="1:9">
      <c r="A27" s="3" t="s">
        <v>123</v>
      </c>
      <c r="B27" s="4">
        <v>2583000</v>
      </c>
      <c r="D27" s="5">
        <v>46058</v>
      </c>
      <c r="E27" s="4">
        <v>4101000</v>
      </c>
    </row>
    <row r="28" spans="1:9">
      <c r="A28" s="3" t="s">
        <v>120</v>
      </c>
      <c r="B28" s="4">
        <v>2227000</v>
      </c>
      <c r="D28" s="5">
        <v>46060</v>
      </c>
      <c r="E28" s="4">
        <v>1412000</v>
      </c>
    </row>
    <row r="29" spans="1:9">
      <c r="A29" s="3" t="s">
        <v>125</v>
      </c>
      <c r="B29" s="4">
        <v>527000</v>
      </c>
      <c r="D29" s="5">
        <v>46061</v>
      </c>
      <c r="E29" s="4">
        <v>1620000</v>
      </c>
    </row>
    <row r="30" spans="1:9">
      <c r="A30" s="3" t="s">
        <v>165</v>
      </c>
      <c r="B30" s="4">
        <v>65304500</v>
      </c>
      <c r="D30" s="5">
        <v>46062</v>
      </c>
      <c r="E30" s="4">
        <v>1860000</v>
      </c>
    </row>
    <row r="31" spans="1:9">
      <c r="D31" s="5">
        <v>46063</v>
      </c>
      <c r="E31" s="4">
        <v>137500</v>
      </c>
    </row>
    <row r="32" spans="1:9">
      <c r="D32" s="5">
        <v>46065</v>
      </c>
      <c r="E32" s="4">
        <v>2050000</v>
      </c>
    </row>
    <row r="33" spans="4:5">
      <c r="D33" s="5">
        <v>46066</v>
      </c>
      <c r="E33" s="4">
        <v>737500</v>
      </c>
    </row>
    <row r="34" spans="4:5">
      <c r="D34" s="5">
        <v>46067</v>
      </c>
      <c r="E34" s="4">
        <v>493000</v>
      </c>
    </row>
    <row r="35" spans="4:5">
      <c r="D35" s="5">
        <v>46072</v>
      </c>
      <c r="E35" s="4">
        <v>1488000</v>
      </c>
    </row>
    <row r="36" spans="4:5">
      <c r="D36" s="5">
        <v>46074</v>
      </c>
      <c r="E36" s="4">
        <v>687500</v>
      </c>
    </row>
    <row r="37" spans="4:5">
      <c r="D37" s="5">
        <v>46075</v>
      </c>
      <c r="E37" s="4">
        <v>492000</v>
      </c>
    </row>
    <row r="38" spans="4:5">
      <c r="D38" s="5">
        <v>46080</v>
      </c>
      <c r="E38" s="4">
        <v>294500</v>
      </c>
    </row>
    <row r="39" spans="4:5">
      <c r="D39" s="5">
        <v>46086</v>
      </c>
      <c r="E39" s="4">
        <v>336000</v>
      </c>
    </row>
    <row r="40" spans="4:5">
      <c r="D40" s="5">
        <v>46089</v>
      </c>
      <c r="E40" s="4">
        <v>2160000</v>
      </c>
    </row>
    <row r="41" spans="4:5">
      <c r="D41" s="5">
        <v>46091</v>
      </c>
      <c r="E41" s="4">
        <v>2378000</v>
      </c>
    </row>
    <row r="42" spans="4:5">
      <c r="D42" s="5">
        <v>46092</v>
      </c>
      <c r="E42" s="4">
        <v>3876000</v>
      </c>
    </row>
    <row r="43" spans="4:5">
      <c r="D43" s="5">
        <v>46093</v>
      </c>
      <c r="E43" s="4">
        <v>2552000</v>
      </c>
    </row>
    <row r="44" spans="4:5">
      <c r="D44" s="5">
        <v>46094</v>
      </c>
      <c r="E44" s="4">
        <v>3207000</v>
      </c>
    </row>
    <row r="45" spans="4:5">
      <c r="D45" s="5">
        <v>46095</v>
      </c>
      <c r="E45" s="4">
        <v>1240000</v>
      </c>
    </row>
    <row r="46" spans="4:5">
      <c r="D46" s="5">
        <v>46100</v>
      </c>
      <c r="E46" s="4">
        <v>662500</v>
      </c>
    </row>
    <row r="47" spans="4:5">
      <c r="D47" s="5">
        <v>46101</v>
      </c>
      <c r="E47" s="4">
        <v>392500</v>
      </c>
    </row>
    <row r="48" spans="4:5">
      <c r="D48" s="5">
        <v>46102</v>
      </c>
      <c r="E48" s="4">
        <v>2914000</v>
      </c>
    </row>
    <row r="49" spans="4:5">
      <c r="D49" s="5">
        <v>46103</v>
      </c>
      <c r="E49" s="4">
        <v>76500</v>
      </c>
    </row>
    <row r="50" spans="4:5">
      <c r="D50" s="5">
        <v>46104</v>
      </c>
      <c r="E50" s="4">
        <v>1050000</v>
      </c>
    </row>
    <row r="51" spans="4:5">
      <c r="D51" s="5">
        <v>46105</v>
      </c>
      <c r="E51" s="4">
        <v>1408000</v>
      </c>
    </row>
    <row r="52" spans="4:5">
      <c r="D52" s="5">
        <v>46106</v>
      </c>
      <c r="E52" s="4">
        <v>2385000</v>
      </c>
    </row>
    <row r="53" spans="4:5">
      <c r="D53" s="5">
        <v>46108</v>
      </c>
      <c r="E53" s="4">
        <v>1006500</v>
      </c>
    </row>
    <row r="54" spans="4:5">
      <c r="D54" s="5" t="s">
        <v>165</v>
      </c>
      <c r="E54" s="4">
        <v>65304500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Product List</vt:lpstr>
      <vt:lpstr>Assignment Questions</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0</cp:revision>
  <dcterms:created xsi:type="dcterms:W3CDTF">2026-07-26T15:22:00Z</dcterms:created>
  <dcterms:modified xsi:type="dcterms:W3CDTF">2026-08-25T09:20:35Z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33B00AD514AD4EA0A2589EB4DB2CBCC4_12</vt:lpwstr>
  </property>
  <property fmtid="{D5CDD505-2E9C-101B-9397-08002B2CF9AE}" pid="3" name="KSOProductBuildVer">
    <vt:lpwstr>1033-12.1.0.28032</vt:lpwstr>
  </property>
  <property fmtid="{D5CDD505-2E9C-101B-9397-08002B2CF9AE}" pid="4" name="CalculationRule">
    <vt:i4>0</vt:i4>
  </property>
</Properties>
</file>